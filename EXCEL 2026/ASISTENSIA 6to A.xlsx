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s Archivos\Documents\RECUPERADOS\copia julio\ecxel\"/>
    </mc:Choice>
  </mc:AlternateContent>
  <xr:revisionPtr revIDLastSave="0" documentId="13_ncr:1_{30865AE8-F905-4411-A01F-638419E4E44D}" xr6:coauthVersionLast="36" xr6:coauthVersionMax="36" xr10:uidLastSave="{00000000-0000-0000-0000-000000000000}"/>
  <bookViews>
    <workbookView xWindow="-108" yWindow="-108" windowWidth="15396" windowHeight="5196" xr2:uid="{00000000-000D-0000-FFFF-FFFF00000000}"/>
  </bookViews>
  <sheets>
    <sheet name="ACTIVIDADES" sheetId="1" r:id="rId1"/>
    <sheet name="Hoja5" sheetId="15" r:id="rId2"/>
    <sheet name="LECTURAS" sheetId="5" r:id="rId3"/>
    <sheet name="ASISTEN" sheetId="3" r:id="rId4"/>
    <sheet name="Hoja1" sheetId="4" r:id="rId5"/>
    <sheet name="Hoja2" sheetId="6" r:id="rId6"/>
    <sheet name="Hoja4" sheetId="14" r:id="rId7"/>
    <sheet name="LECT." sheetId="10" r:id="rId8"/>
    <sheet name="Materiales" sheetId="9" r:id="rId9"/>
    <sheet name="Elementos" sheetId="7" r:id="rId10"/>
    <sheet name="2do TRIM." sheetId="11" r:id="rId11"/>
    <sheet name="3er TRIM" sheetId="13" r:id="rId12"/>
    <sheet name="Hoja3" sheetId="12" r:id="rId13"/>
  </sheets>
  <calcPr calcId="191029"/>
</workbook>
</file>

<file path=xl/calcChain.xml><?xml version="1.0" encoding="utf-8"?>
<calcChain xmlns="http://schemas.openxmlformats.org/spreadsheetml/2006/main">
  <c r="C76" i="1" l="1"/>
  <c r="C38" i="1" l="1"/>
  <c r="X114" i="1"/>
  <c r="X113" i="1"/>
  <c r="C113" i="1"/>
  <c r="X112" i="1"/>
  <c r="C112" i="1"/>
  <c r="X111" i="1"/>
  <c r="C111" i="1"/>
  <c r="X110" i="1"/>
  <c r="C110" i="1"/>
  <c r="X109" i="1"/>
  <c r="C109" i="1"/>
  <c r="X108" i="1"/>
  <c r="C108" i="1"/>
  <c r="X107" i="1"/>
  <c r="C107" i="1"/>
  <c r="X106" i="1"/>
  <c r="C106" i="1"/>
  <c r="X105" i="1"/>
  <c r="C105" i="1"/>
  <c r="X104" i="1"/>
  <c r="C104" i="1"/>
  <c r="X103" i="1"/>
  <c r="C103" i="1"/>
  <c r="X102" i="1"/>
  <c r="C102" i="1"/>
  <c r="X101" i="1"/>
  <c r="C101" i="1"/>
  <c r="X100" i="1"/>
  <c r="C100" i="1"/>
  <c r="X95" i="1"/>
  <c r="X94" i="1"/>
  <c r="C94" i="1"/>
  <c r="X93" i="1"/>
  <c r="C93" i="1"/>
  <c r="X92" i="1"/>
  <c r="C92" i="1"/>
  <c r="X91" i="1"/>
  <c r="C91" i="1"/>
  <c r="X90" i="1"/>
  <c r="C90" i="1"/>
  <c r="X89" i="1"/>
  <c r="C89" i="1"/>
  <c r="X88" i="1"/>
  <c r="C88" i="1"/>
  <c r="X87" i="1"/>
  <c r="C87" i="1"/>
  <c r="X86" i="1"/>
  <c r="C86" i="1"/>
  <c r="X85" i="1"/>
  <c r="C85" i="1"/>
  <c r="X84" i="1"/>
  <c r="C84" i="1"/>
  <c r="X83" i="1"/>
  <c r="C83" i="1"/>
  <c r="X82" i="1"/>
  <c r="C82" i="1"/>
  <c r="X81" i="1"/>
  <c r="C81" i="1"/>
  <c r="X76" i="1"/>
  <c r="X75" i="1"/>
  <c r="C75" i="1"/>
  <c r="X74" i="1"/>
  <c r="C74" i="1"/>
  <c r="X73" i="1"/>
  <c r="C73" i="1"/>
  <c r="X72" i="1"/>
  <c r="C72" i="1"/>
  <c r="X71" i="1"/>
  <c r="C71" i="1"/>
  <c r="X70" i="1"/>
  <c r="C70" i="1"/>
  <c r="X69" i="1"/>
  <c r="C69" i="1"/>
  <c r="X68" i="1"/>
  <c r="C68" i="1"/>
  <c r="X67" i="1"/>
  <c r="C67" i="1"/>
  <c r="X66" i="1"/>
  <c r="C66" i="1"/>
  <c r="X65" i="1"/>
  <c r="C65" i="1"/>
  <c r="X64" i="1"/>
  <c r="C64" i="1"/>
  <c r="X63" i="1"/>
  <c r="C63" i="1"/>
  <c r="X62" i="1"/>
  <c r="C62" i="1"/>
  <c r="X57" i="1"/>
  <c r="X56" i="1"/>
  <c r="C56" i="1"/>
  <c r="X55" i="1"/>
  <c r="C55" i="1"/>
  <c r="X54" i="1"/>
  <c r="C54" i="1"/>
  <c r="X53" i="1"/>
  <c r="C53" i="1"/>
  <c r="X52" i="1"/>
  <c r="C52" i="1"/>
  <c r="X51" i="1"/>
  <c r="C51" i="1"/>
  <c r="X50" i="1"/>
  <c r="C50" i="1"/>
  <c r="X49" i="1"/>
  <c r="C49" i="1"/>
  <c r="X48" i="1"/>
  <c r="C48" i="1"/>
  <c r="X47" i="1"/>
  <c r="C47" i="1"/>
  <c r="X46" i="1"/>
  <c r="C46" i="1"/>
  <c r="X45" i="1"/>
  <c r="C45" i="1"/>
  <c r="X44" i="1"/>
  <c r="C44" i="1"/>
  <c r="X43" i="1"/>
  <c r="C43" i="1"/>
  <c r="X38" i="1"/>
  <c r="X37" i="1"/>
  <c r="C37" i="1"/>
  <c r="X36" i="1"/>
  <c r="C36" i="1"/>
  <c r="X35" i="1"/>
  <c r="C35" i="1"/>
  <c r="X34" i="1"/>
  <c r="C34" i="1"/>
  <c r="X33" i="1"/>
  <c r="C33" i="1"/>
  <c r="X32" i="1"/>
  <c r="C32" i="1"/>
  <c r="X31" i="1"/>
  <c r="C31" i="1"/>
  <c r="X30" i="1"/>
  <c r="C30" i="1"/>
  <c r="X29" i="1"/>
  <c r="C29" i="1"/>
  <c r="X28" i="1"/>
  <c r="C28" i="1"/>
  <c r="X27" i="1"/>
  <c r="C27" i="1"/>
  <c r="X26" i="1"/>
  <c r="C26" i="1"/>
  <c r="X25" i="1"/>
  <c r="C25" i="1"/>
  <c r="X24" i="1"/>
  <c r="C24" i="1"/>
  <c r="C33" i="5" l="1"/>
  <c r="X19" i="1"/>
  <c r="X109" i="13" l="1"/>
  <c r="X110" i="13"/>
  <c r="X111" i="13"/>
  <c r="X112" i="13"/>
  <c r="X113" i="13"/>
  <c r="X114" i="13"/>
  <c r="X115" i="13"/>
  <c r="X116" i="13"/>
  <c r="X117" i="13"/>
  <c r="X118" i="13"/>
  <c r="X119" i="13"/>
  <c r="X120" i="13"/>
  <c r="X121" i="13"/>
  <c r="X122" i="13"/>
  <c r="X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08" i="13"/>
  <c r="X48" i="13" l="1"/>
  <c r="X49" i="13"/>
  <c r="X50" i="13"/>
  <c r="X51" i="13"/>
  <c r="X52" i="13"/>
  <c r="X53" i="13"/>
  <c r="X54" i="13"/>
  <c r="X55" i="13"/>
  <c r="X56" i="13"/>
  <c r="X57" i="13"/>
  <c r="X58" i="13"/>
  <c r="X59" i="13"/>
  <c r="X60" i="13"/>
  <c r="X61" i="13"/>
  <c r="X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47" i="13"/>
  <c r="X69" i="13"/>
  <c r="X70" i="13"/>
  <c r="X71" i="13"/>
  <c r="X72" i="13"/>
  <c r="X73" i="13"/>
  <c r="X74" i="13"/>
  <c r="X75" i="13"/>
  <c r="X76" i="13"/>
  <c r="X77" i="13"/>
  <c r="X78" i="13"/>
  <c r="X79" i="13"/>
  <c r="X80" i="13"/>
  <c r="X81" i="13"/>
  <c r="X82" i="13"/>
  <c r="X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68" i="13"/>
  <c r="X88" i="13" l="1"/>
  <c r="X89" i="13"/>
  <c r="X90" i="13"/>
  <c r="X91" i="13"/>
  <c r="X92" i="13"/>
  <c r="X93" i="13"/>
  <c r="X94" i="13"/>
  <c r="X95" i="13"/>
  <c r="X96" i="13"/>
  <c r="X97" i="13"/>
  <c r="X98" i="13"/>
  <c r="X99" i="13"/>
  <c r="X100" i="13"/>
  <c r="X101" i="13"/>
  <c r="X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87" i="13"/>
  <c r="X7" i="13"/>
  <c r="X8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X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6" i="13"/>
  <c r="X27" i="13"/>
  <c r="X28" i="13"/>
  <c r="X29" i="13"/>
  <c r="X30" i="13"/>
  <c r="X31" i="13"/>
  <c r="X32" i="13"/>
  <c r="X33" i="13"/>
  <c r="X34" i="13"/>
  <c r="X35" i="13"/>
  <c r="X36" i="13"/>
  <c r="X37" i="13"/>
  <c r="X38" i="13"/>
  <c r="X39" i="13"/>
  <c r="X40" i="13"/>
  <c r="X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26" i="13"/>
  <c r="Y90" i="11" l="1"/>
  <c r="Y91" i="11"/>
  <c r="Y92" i="11"/>
  <c r="Y93" i="11"/>
  <c r="Y94" i="11"/>
  <c r="Y95" i="11"/>
  <c r="Y96" i="11"/>
  <c r="Y97" i="11"/>
  <c r="Y98" i="11"/>
  <c r="Y99" i="11"/>
  <c r="Y100" i="11"/>
  <c r="Y101" i="11"/>
  <c r="Y102" i="11"/>
  <c r="Y103" i="11"/>
  <c r="Y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89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68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47" i="11"/>
  <c r="J67" i="11" l="1"/>
  <c r="D7" i="11" l="1"/>
  <c r="D8" i="11"/>
  <c r="D9" i="11"/>
  <c r="D10" i="11"/>
  <c r="D11" i="11"/>
  <c r="D12" i="11"/>
  <c r="D13" i="11"/>
  <c r="D14" i="11"/>
  <c r="D15" i="11"/>
  <c r="D16" i="11"/>
  <c r="D17" i="11"/>
  <c r="D18" i="11"/>
  <c r="D19" i="11"/>
  <c r="Y20" i="11" l="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6" i="11"/>
  <c r="D6" i="11"/>
  <c r="Y123" i="11" l="1"/>
  <c r="D123" i="11"/>
  <c r="Y122" i="11"/>
  <c r="D122" i="11"/>
  <c r="Y121" i="11"/>
  <c r="D121" i="11"/>
  <c r="Y120" i="11"/>
  <c r="D120" i="11"/>
  <c r="Y119" i="11"/>
  <c r="D119" i="11"/>
  <c r="Y118" i="11"/>
  <c r="D118" i="11"/>
  <c r="Y117" i="11"/>
  <c r="D117" i="11"/>
  <c r="Y116" i="11"/>
  <c r="D116" i="11"/>
  <c r="Y115" i="11"/>
  <c r="D115" i="11"/>
  <c r="Y114" i="11"/>
  <c r="D114" i="11"/>
  <c r="Y113" i="11"/>
  <c r="D113" i="11"/>
  <c r="Y112" i="11"/>
  <c r="D112" i="11"/>
  <c r="Y111" i="11"/>
  <c r="D111" i="11"/>
  <c r="Y110" i="11"/>
  <c r="D110" i="11"/>
  <c r="Y39" i="11"/>
  <c r="D39" i="11"/>
  <c r="Y38" i="11"/>
  <c r="D38" i="11"/>
  <c r="Y37" i="11"/>
  <c r="D37" i="11"/>
  <c r="Y36" i="11"/>
  <c r="D36" i="11"/>
  <c r="Y35" i="11"/>
  <c r="D35" i="11"/>
  <c r="Y34" i="11"/>
  <c r="D34" i="11"/>
  <c r="Y33" i="11"/>
  <c r="D33" i="11"/>
  <c r="Y32" i="11"/>
  <c r="D32" i="11"/>
  <c r="Y31" i="11"/>
  <c r="D31" i="11"/>
  <c r="Y30" i="11"/>
  <c r="D30" i="11"/>
  <c r="Y29" i="11"/>
  <c r="D29" i="11"/>
  <c r="Y28" i="11"/>
  <c r="D28" i="11"/>
  <c r="Y27" i="11"/>
  <c r="D27" i="11"/>
  <c r="Y26" i="11"/>
  <c r="D26" i="11"/>
  <c r="X6" i="1" l="1"/>
  <c r="X7" i="1"/>
  <c r="X8" i="1"/>
  <c r="X9" i="1"/>
  <c r="X10" i="1"/>
  <c r="X11" i="1"/>
  <c r="X12" i="1"/>
  <c r="X13" i="1"/>
  <c r="X14" i="1"/>
  <c r="X15" i="1"/>
  <c r="X16" i="1"/>
  <c r="X17" i="1"/>
  <c r="X18" i="1"/>
  <c r="X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5" i="1"/>
  <c r="C6" i="10" l="1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5" i="10"/>
  <c r="C6" i="5" l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5" i="5" l="1"/>
</calcChain>
</file>

<file path=xl/sharedStrings.xml><?xml version="1.0" encoding="utf-8"?>
<sst xmlns="http://schemas.openxmlformats.org/spreadsheetml/2006/main" count="1726" uniqueCount="521">
  <si>
    <t>GRUPO A</t>
  </si>
  <si>
    <t>Suma total de actividades trabajadas en el trimestre</t>
  </si>
  <si>
    <t>MATERIAS - LENGUAJE</t>
  </si>
  <si>
    <t>FECHA</t>
  </si>
  <si>
    <t>N°</t>
  </si>
  <si>
    <r>
      <t xml:space="preserve">NOMBRES COMPLETOS  </t>
    </r>
    <r>
      <rPr>
        <sz val="14"/>
        <color theme="1"/>
        <rFont val="Calibri"/>
        <family val="2"/>
        <scheme val="minor"/>
      </rPr>
      <t>GRUPO  "A"</t>
    </r>
  </si>
  <si>
    <t xml:space="preserve">SUMA TOTAL DE LECTURAS </t>
  </si>
  <si>
    <t>CONTROL DE ASISTENCIA DE ESTUDIANTES POR GRUPOS</t>
  </si>
  <si>
    <t>Diciembre</t>
  </si>
  <si>
    <t>VIER</t>
  </si>
  <si>
    <r>
      <t xml:space="preserve">ARIAS ARGOTE </t>
    </r>
    <r>
      <rPr>
        <b/>
        <sz val="6"/>
        <color rgb="FF000000"/>
        <rFont val="Arial"/>
        <family val="2"/>
      </rPr>
      <t>ARACELY</t>
    </r>
  </si>
  <si>
    <t>P</t>
  </si>
  <si>
    <r>
      <t xml:space="preserve">COCA SENZANO </t>
    </r>
    <r>
      <rPr>
        <b/>
        <sz val="6"/>
        <color rgb="FF000000"/>
        <rFont val="Arial"/>
        <family val="2"/>
      </rPr>
      <t>DAMARIS</t>
    </r>
  </si>
  <si>
    <r>
      <t>COLQUE ROJAS</t>
    </r>
    <r>
      <rPr>
        <b/>
        <sz val="6"/>
        <color rgb="FF000000"/>
        <rFont val="Arial"/>
        <family val="2"/>
      </rPr>
      <t xml:space="preserve"> RAUL</t>
    </r>
  </si>
  <si>
    <r>
      <t>FLORES ZOTO T</t>
    </r>
    <r>
      <rPr>
        <b/>
        <sz val="6"/>
        <color rgb="FF000000"/>
        <rFont val="Arial"/>
        <family val="2"/>
      </rPr>
      <t>ABITA SARAI</t>
    </r>
  </si>
  <si>
    <r>
      <t xml:space="preserve">INOCENTE QUIROZ </t>
    </r>
    <r>
      <rPr>
        <b/>
        <sz val="6"/>
        <color rgb="FF000000"/>
        <rFont val="Arial"/>
        <family val="2"/>
      </rPr>
      <t>ALEXANDER</t>
    </r>
  </si>
  <si>
    <r>
      <t xml:space="preserve">JUAREZ SANTOS </t>
    </r>
    <r>
      <rPr>
        <b/>
        <sz val="6"/>
        <color rgb="FF000000"/>
        <rFont val="Arial"/>
        <family val="2"/>
      </rPr>
      <t>AGUSTIN YAMIL JAIR</t>
    </r>
  </si>
  <si>
    <r>
      <t xml:space="preserve">LLANOS COCA </t>
    </r>
    <r>
      <rPr>
        <b/>
        <sz val="6"/>
        <color rgb="FF000000"/>
        <rFont val="Arial"/>
        <family val="2"/>
      </rPr>
      <t>JOHN</t>
    </r>
  </si>
  <si>
    <r>
      <t xml:space="preserve">PEREZ INOCENTE </t>
    </r>
    <r>
      <rPr>
        <b/>
        <sz val="6"/>
        <color rgb="FF000000"/>
        <rFont val="Arial"/>
        <family val="2"/>
      </rPr>
      <t>SAMUEL SANDER</t>
    </r>
  </si>
  <si>
    <r>
      <t xml:space="preserve">SALAZAR JAMIRA </t>
    </r>
    <r>
      <rPr>
        <b/>
        <sz val="6"/>
        <color rgb="FF000000"/>
        <rFont val="Arial"/>
        <family val="2"/>
      </rPr>
      <t>DANIEL</t>
    </r>
  </si>
  <si>
    <r>
      <t xml:space="preserve">SANTOS QUIROZ  </t>
    </r>
    <r>
      <rPr>
        <b/>
        <sz val="6"/>
        <color rgb="FF000000"/>
        <rFont val="Arial"/>
        <family val="2"/>
      </rPr>
      <t>KEYLI ANDIA</t>
    </r>
  </si>
  <si>
    <r>
      <t xml:space="preserve">TORREZ MAITA </t>
    </r>
    <r>
      <rPr>
        <b/>
        <sz val="6"/>
        <color rgb="FF000000"/>
        <rFont val="Arial"/>
        <family val="2"/>
      </rPr>
      <t>ROYEER EFRAIN</t>
    </r>
  </si>
  <si>
    <r>
      <t xml:space="preserve">BAENA ZARATE </t>
    </r>
    <r>
      <rPr>
        <b/>
        <sz val="6"/>
        <rFont val="Arial"/>
        <family val="2"/>
      </rPr>
      <t>GAEL MATIAS</t>
    </r>
  </si>
  <si>
    <r>
      <t xml:space="preserve">COLQUE NOLASCO </t>
    </r>
    <r>
      <rPr>
        <b/>
        <sz val="6"/>
        <rFont val="Arial"/>
        <family val="2"/>
      </rPr>
      <t>JHEICO ABNER</t>
    </r>
  </si>
  <si>
    <r>
      <t>ESCOBAR MENDIETA</t>
    </r>
    <r>
      <rPr>
        <b/>
        <sz val="6"/>
        <color rgb="FF000000"/>
        <rFont val="Arial"/>
        <family val="2"/>
      </rPr>
      <t xml:space="preserve"> KEVIN</t>
    </r>
  </si>
  <si>
    <r>
      <t>GUZMAN  CORREA</t>
    </r>
    <r>
      <rPr>
        <b/>
        <sz val="6"/>
        <color rgb="FF000000"/>
        <rFont val="Arial"/>
        <family val="2"/>
      </rPr>
      <t xml:space="preserve"> DILANN NAWELD</t>
    </r>
  </si>
  <si>
    <r>
      <t xml:space="preserve">JORA AMBROCIO </t>
    </r>
    <r>
      <rPr>
        <b/>
        <sz val="6"/>
        <color rgb="FF000000"/>
        <rFont val="Arial"/>
        <family val="2"/>
      </rPr>
      <t>JHOEL</t>
    </r>
  </si>
  <si>
    <r>
      <t xml:space="preserve">MAMANI GARCIA </t>
    </r>
    <r>
      <rPr>
        <b/>
        <sz val="6"/>
        <color rgb="FF000000"/>
        <rFont val="Arial"/>
        <family val="2"/>
      </rPr>
      <t>ALEXIS LIONEL</t>
    </r>
  </si>
  <si>
    <r>
      <t xml:space="preserve">PANIAGUA COCA </t>
    </r>
    <r>
      <rPr>
        <b/>
        <sz val="6"/>
        <color rgb="FF000000"/>
        <rFont val="Arial"/>
        <family val="2"/>
      </rPr>
      <t>CAMILA MASIEL</t>
    </r>
  </si>
  <si>
    <r>
      <t xml:space="preserve">PAUCARA  VASQUEZ </t>
    </r>
    <r>
      <rPr>
        <b/>
        <sz val="6"/>
        <color theme="1"/>
        <rFont val="Arial"/>
        <family val="2"/>
      </rPr>
      <t>DIEGO ANTONI</t>
    </r>
  </si>
  <si>
    <r>
      <t>SALAZAR CONDO</t>
    </r>
    <r>
      <rPr>
        <b/>
        <sz val="6"/>
        <color rgb="FF000000"/>
        <rFont val="Arial"/>
        <family val="2"/>
      </rPr>
      <t xml:space="preserve"> ABIGAIL</t>
    </r>
  </si>
  <si>
    <r>
      <t xml:space="preserve">TAPIA FLORES </t>
    </r>
    <r>
      <rPr>
        <b/>
        <sz val="6"/>
        <color rgb="FF000000"/>
        <rFont val="Arial"/>
        <family val="2"/>
      </rPr>
      <t>ANAHI DIANA</t>
    </r>
  </si>
  <si>
    <r>
      <rPr>
        <sz val="6"/>
        <color rgb="FF000000"/>
        <rFont val="Arial"/>
        <family val="2"/>
      </rPr>
      <t>ROCHA LOZA</t>
    </r>
    <r>
      <rPr>
        <b/>
        <sz val="6"/>
        <color rgb="FF000000"/>
        <rFont val="Arial"/>
        <family val="2"/>
      </rPr>
      <t xml:space="preserve"> NAYELI</t>
    </r>
  </si>
  <si>
    <r>
      <t xml:space="preserve">SANCHEZ ALAVI </t>
    </r>
    <r>
      <rPr>
        <b/>
        <sz val="6"/>
        <color rgb="FF000000"/>
        <rFont val="Arial"/>
        <family val="2"/>
      </rPr>
      <t>ESTIBEN</t>
    </r>
  </si>
  <si>
    <t>NOMBRES Y APELLIDOS</t>
  </si>
  <si>
    <t>APELLIDOS Y NOMBRES</t>
  </si>
  <si>
    <t>Nº</t>
  </si>
  <si>
    <t>DOSIS RECIBIDAS</t>
  </si>
  <si>
    <t>PRIMERA</t>
  </si>
  <si>
    <t>SEGUNDA</t>
  </si>
  <si>
    <t>X</t>
  </si>
  <si>
    <t>materiales</t>
  </si>
  <si>
    <t>diodos</t>
  </si>
  <si>
    <t>estaño</t>
  </si>
  <si>
    <t>pasta</t>
  </si>
  <si>
    <t>cautin</t>
  </si>
  <si>
    <t>interruptor</t>
  </si>
  <si>
    <t>resistencias</t>
  </si>
  <si>
    <t>CONTROL DE ENTREGA DE TAREAS 1er TRIMESTRE</t>
  </si>
  <si>
    <t>F</t>
  </si>
  <si>
    <t>L</t>
  </si>
  <si>
    <r>
      <t xml:space="preserve">GUSMAN ROJAS </t>
    </r>
    <r>
      <rPr>
        <b/>
        <sz val="6"/>
        <color rgb="FF000000"/>
        <rFont val="Arial"/>
        <family val="2"/>
      </rPr>
      <t>JUAN LUIS</t>
    </r>
  </si>
  <si>
    <r>
      <t xml:space="preserve">CONDORI </t>
    </r>
    <r>
      <rPr>
        <b/>
        <sz val="6"/>
        <color rgb="FF000000"/>
        <rFont val="Arial"/>
        <family val="2"/>
      </rPr>
      <t>HELEN</t>
    </r>
  </si>
  <si>
    <t>MATEMATICAS</t>
  </si>
  <si>
    <t>C. SOCIALES</t>
  </si>
  <si>
    <t>C. NATURALES</t>
  </si>
  <si>
    <t>TECNOLOGIA</t>
  </si>
  <si>
    <t>ARTES VISUALES</t>
  </si>
  <si>
    <t>MIR</t>
  </si>
  <si>
    <t>JUE</t>
  </si>
  <si>
    <t>LUN</t>
  </si>
  <si>
    <t>NOMBRE APELLIDO</t>
  </si>
  <si>
    <r>
      <t xml:space="preserve">GUTIERREZ DELGADILLO </t>
    </r>
    <r>
      <rPr>
        <b/>
        <sz val="6"/>
        <color rgb="FF000000"/>
        <rFont val="Arial"/>
        <family val="2"/>
      </rPr>
      <t>ERIKA LIZETH</t>
    </r>
  </si>
  <si>
    <r>
      <t xml:space="preserve">VASQUEZ TASTACA </t>
    </r>
    <r>
      <rPr>
        <b/>
        <sz val="6"/>
        <color rgb="FF000000"/>
        <rFont val="Arial"/>
        <family val="2"/>
      </rPr>
      <t>KENIA</t>
    </r>
  </si>
  <si>
    <r>
      <t>VASQUEZ TASTACA</t>
    </r>
    <r>
      <rPr>
        <b/>
        <sz val="6"/>
        <color rgb="FF000000"/>
        <rFont val="Arial"/>
        <family val="2"/>
      </rPr>
      <t xml:space="preserve"> KENIA</t>
    </r>
  </si>
  <si>
    <r>
      <t xml:space="preserve">ARIAS ARGOTE </t>
    </r>
    <r>
      <rPr>
        <b/>
        <sz val="9"/>
        <color rgb="FF000000"/>
        <rFont val="Arial"/>
        <family val="2"/>
      </rPr>
      <t>ARACELY</t>
    </r>
  </si>
  <si>
    <r>
      <t xml:space="preserve">BAENA ZARATE </t>
    </r>
    <r>
      <rPr>
        <b/>
        <sz val="9"/>
        <rFont val="Arial"/>
        <family val="2"/>
      </rPr>
      <t>GAEL MATIAS</t>
    </r>
  </si>
  <si>
    <r>
      <t xml:space="preserve">COCA SENZANO </t>
    </r>
    <r>
      <rPr>
        <b/>
        <sz val="9"/>
        <color rgb="FF000000"/>
        <rFont val="Arial"/>
        <family val="2"/>
      </rPr>
      <t>DAMARIS</t>
    </r>
  </si>
  <si>
    <r>
      <t xml:space="preserve">COLQUE NOLASCO </t>
    </r>
    <r>
      <rPr>
        <b/>
        <sz val="9"/>
        <rFont val="Arial"/>
        <family val="2"/>
      </rPr>
      <t>JHEICO ABNER</t>
    </r>
  </si>
  <si>
    <r>
      <t>COLQUE ROJAS</t>
    </r>
    <r>
      <rPr>
        <b/>
        <sz val="9"/>
        <color rgb="FF000000"/>
        <rFont val="Arial"/>
        <family val="2"/>
      </rPr>
      <t xml:space="preserve"> RAUL</t>
    </r>
  </si>
  <si>
    <r>
      <t xml:space="preserve">CONDORI </t>
    </r>
    <r>
      <rPr>
        <b/>
        <sz val="9"/>
        <color rgb="FF000000"/>
        <rFont val="Arial"/>
        <family val="2"/>
      </rPr>
      <t>HELEN</t>
    </r>
  </si>
  <si>
    <r>
      <t>ESCOBAR MENDIETA</t>
    </r>
    <r>
      <rPr>
        <b/>
        <sz val="9"/>
        <color rgb="FF000000"/>
        <rFont val="Arial"/>
        <family val="2"/>
      </rPr>
      <t xml:space="preserve"> KEVIN</t>
    </r>
  </si>
  <si>
    <r>
      <t>FLORES ZOTO T</t>
    </r>
    <r>
      <rPr>
        <b/>
        <sz val="9"/>
        <color rgb="FF000000"/>
        <rFont val="Arial"/>
        <family val="2"/>
      </rPr>
      <t>ABITA SARAI</t>
    </r>
  </si>
  <si>
    <r>
      <t xml:space="preserve">GUSMAN ROJAS </t>
    </r>
    <r>
      <rPr>
        <b/>
        <sz val="9"/>
        <color rgb="FF000000"/>
        <rFont val="Arial"/>
        <family val="2"/>
      </rPr>
      <t>JUAN LUIS</t>
    </r>
  </si>
  <si>
    <r>
      <t xml:space="preserve">GUTIERREZ DELGADILLO </t>
    </r>
    <r>
      <rPr>
        <b/>
        <sz val="9"/>
        <color rgb="FF000000"/>
        <rFont val="Arial"/>
        <family val="2"/>
      </rPr>
      <t>ERIKA LIZETH</t>
    </r>
  </si>
  <si>
    <r>
      <t>GUZMAN  CORREA</t>
    </r>
    <r>
      <rPr>
        <b/>
        <sz val="9"/>
        <color rgb="FF000000"/>
        <rFont val="Arial"/>
        <family val="2"/>
      </rPr>
      <t xml:space="preserve"> DILANN NAWELD</t>
    </r>
  </si>
  <si>
    <r>
      <t xml:space="preserve">INOCENTE QUIROZ </t>
    </r>
    <r>
      <rPr>
        <b/>
        <sz val="9"/>
        <color rgb="FF000000"/>
        <rFont val="Arial"/>
        <family val="2"/>
      </rPr>
      <t>ALEXANDER</t>
    </r>
  </si>
  <si>
    <r>
      <t xml:space="preserve">JORA AMBROCIO </t>
    </r>
    <r>
      <rPr>
        <b/>
        <sz val="9"/>
        <color rgb="FF000000"/>
        <rFont val="Arial"/>
        <family val="2"/>
      </rPr>
      <t>JHOEL</t>
    </r>
  </si>
  <si>
    <r>
      <t xml:space="preserve">JUAREZ SANTOS </t>
    </r>
    <r>
      <rPr>
        <b/>
        <sz val="9"/>
        <color rgb="FF000000"/>
        <rFont val="Arial"/>
        <family val="2"/>
      </rPr>
      <t>AGUSTIN YAMIL JAIR</t>
    </r>
  </si>
  <si>
    <r>
      <t xml:space="preserve">LLANOS COCA </t>
    </r>
    <r>
      <rPr>
        <b/>
        <sz val="9"/>
        <color rgb="FF000000"/>
        <rFont val="Arial"/>
        <family val="2"/>
      </rPr>
      <t>JOHN</t>
    </r>
  </si>
  <si>
    <r>
      <t xml:space="preserve">MAMANI GARCIA </t>
    </r>
    <r>
      <rPr>
        <b/>
        <sz val="9"/>
        <color rgb="FF000000"/>
        <rFont val="Arial"/>
        <family val="2"/>
      </rPr>
      <t>ALEXIS LIONEL</t>
    </r>
  </si>
  <si>
    <r>
      <t xml:space="preserve">PANIAGUA COCA </t>
    </r>
    <r>
      <rPr>
        <b/>
        <sz val="9"/>
        <color rgb="FF000000"/>
        <rFont val="Arial"/>
        <family val="2"/>
      </rPr>
      <t>CAMILA MASIEL</t>
    </r>
  </si>
  <si>
    <r>
      <t xml:space="preserve">PAUCARA  VASQUEZ </t>
    </r>
    <r>
      <rPr>
        <b/>
        <sz val="9"/>
        <color theme="1"/>
        <rFont val="Arial"/>
        <family val="2"/>
      </rPr>
      <t>DIEGO ANTONI</t>
    </r>
  </si>
  <si>
    <r>
      <t xml:space="preserve">PEREZ INOCENTE </t>
    </r>
    <r>
      <rPr>
        <b/>
        <sz val="9"/>
        <color rgb="FF000000"/>
        <rFont val="Arial"/>
        <family val="2"/>
      </rPr>
      <t>SAMUEL SANDER</t>
    </r>
  </si>
  <si>
    <r>
      <rPr>
        <sz val="9"/>
        <color rgb="FF000000"/>
        <rFont val="Arial"/>
        <family val="2"/>
      </rPr>
      <t>ROCHA LOZA</t>
    </r>
    <r>
      <rPr>
        <b/>
        <sz val="9"/>
        <color rgb="FF000000"/>
        <rFont val="Arial"/>
        <family val="2"/>
      </rPr>
      <t xml:space="preserve"> NAYELI</t>
    </r>
  </si>
  <si>
    <r>
      <t>SALAZAR CONDO</t>
    </r>
    <r>
      <rPr>
        <b/>
        <sz val="9"/>
        <color rgb="FF000000"/>
        <rFont val="Arial"/>
        <family val="2"/>
      </rPr>
      <t xml:space="preserve"> ABIGAIL</t>
    </r>
  </si>
  <si>
    <r>
      <t xml:space="preserve">SALAZAR JAMIRA </t>
    </r>
    <r>
      <rPr>
        <b/>
        <sz val="9"/>
        <color rgb="FF000000"/>
        <rFont val="Arial"/>
        <family val="2"/>
      </rPr>
      <t>DANIEL</t>
    </r>
  </si>
  <si>
    <r>
      <t xml:space="preserve">SANCHEZ ALAVI </t>
    </r>
    <r>
      <rPr>
        <b/>
        <sz val="9"/>
        <color rgb="FF000000"/>
        <rFont val="Arial"/>
        <family val="2"/>
      </rPr>
      <t>ESTIBEN</t>
    </r>
  </si>
  <si>
    <r>
      <t xml:space="preserve">SANTOS QUIROZ  </t>
    </r>
    <r>
      <rPr>
        <b/>
        <sz val="9"/>
        <color rgb="FF000000"/>
        <rFont val="Arial"/>
        <family val="2"/>
      </rPr>
      <t>KEYLI ANDIA</t>
    </r>
  </si>
  <si>
    <r>
      <t xml:space="preserve">TAPIA FLORES </t>
    </r>
    <r>
      <rPr>
        <b/>
        <sz val="9"/>
        <color rgb="FF000000"/>
        <rFont val="Arial"/>
        <family val="2"/>
      </rPr>
      <t>ANAHI DIANA</t>
    </r>
  </si>
  <si>
    <r>
      <t xml:space="preserve">TORREZ MAITA </t>
    </r>
    <r>
      <rPr>
        <b/>
        <sz val="9"/>
        <color rgb="FF000000"/>
        <rFont val="Arial"/>
        <family val="2"/>
      </rPr>
      <t>ROYEER EFRAIN</t>
    </r>
  </si>
  <si>
    <r>
      <t xml:space="preserve">MURILLO MORALES </t>
    </r>
    <r>
      <rPr>
        <b/>
        <sz val="9"/>
        <color rgb="FF000000"/>
        <rFont val="Arial"/>
        <family val="2"/>
      </rPr>
      <t>LIZ JHULIANA</t>
    </r>
  </si>
  <si>
    <r>
      <t xml:space="preserve">ARIAS ARGOTE </t>
    </r>
    <r>
      <rPr>
        <b/>
        <sz val="8"/>
        <color rgb="FF000000"/>
        <rFont val="Arial"/>
        <family val="2"/>
      </rPr>
      <t>ARACELY</t>
    </r>
  </si>
  <si>
    <r>
      <t xml:space="preserve">BAENA ZARATE </t>
    </r>
    <r>
      <rPr>
        <b/>
        <sz val="8"/>
        <rFont val="Arial"/>
        <family val="2"/>
      </rPr>
      <t>GAEL MATIAS</t>
    </r>
  </si>
  <si>
    <r>
      <t xml:space="preserve">COCA SENZANO </t>
    </r>
    <r>
      <rPr>
        <b/>
        <sz val="8"/>
        <color rgb="FF000000"/>
        <rFont val="Arial"/>
        <family val="2"/>
      </rPr>
      <t>DAMARIS</t>
    </r>
  </si>
  <si>
    <r>
      <t xml:space="preserve">COLQUE NOLASCO </t>
    </r>
    <r>
      <rPr>
        <b/>
        <sz val="8"/>
        <rFont val="Arial"/>
        <family val="2"/>
      </rPr>
      <t>JHEICO ABNER</t>
    </r>
  </si>
  <si>
    <r>
      <t>COLQUE ROJAS</t>
    </r>
    <r>
      <rPr>
        <b/>
        <sz val="8"/>
        <color rgb="FF000000"/>
        <rFont val="Arial"/>
        <family val="2"/>
      </rPr>
      <t xml:space="preserve"> RAUL</t>
    </r>
  </si>
  <si>
    <r>
      <t xml:space="preserve">CONDORI </t>
    </r>
    <r>
      <rPr>
        <b/>
        <sz val="8"/>
        <color rgb="FF000000"/>
        <rFont val="Arial"/>
        <family val="2"/>
      </rPr>
      <t>HELEN</t>
    </r>
  </si>
  <si>
    <r>
      <t>ESCOBAR MENDIETA</t>
    </r>
    <r>
      <rPr>
        <b/>
        <sz val="8"/>
        <color rgb="FF000000"/>
        <rFont val="Arial"/>
        <family val="2"/>
      </rPr>
      <t xml:space="preserve"> KEVIN</t>
    </r>
  </si>
  <si>
    <r>
      <t>FLORES ZOTO T</t>
    </r>
    <r>
      <rPr>
        <b/>
        <sz val="8"/>
        <color rgb="FF000000"/>
        <rFont val="Arial"/>
        <family val="2"/>
      </rPr>
      <t>ABITA SARAI</t>
    </r>
  </si>
  <si>
    <r>
      <t xml:space="preserve">GUSMAN ROJAS </t>
    </r>
    <r>
      <rPr>
        <b/>
        <sz val="8"/>
        <color rgb="FF000000"/>
        <rFont val="Arial"/>
        <family val="2"/>
      </rPr>
      <t>JUAN LUIS</t>
    </r>
  </si>
  <si>
    <r>
      <t xml:space="preserve">GUTIERREZ DELGADILLO </t>
    </r>
    <r>
      <rPr>
        <b/>
        <sz val="8"/>
        <color rgb="FF000000"/>
        <rFont val="Arial"/>
        <family val="2"/>
      </rPr>
      <t>ERIKA LIZETH</t>
    </r>
  </si>
  <si>
    <r>
      <t>GUZMAN  CORREA</t>
    </r>
    <r>
      <rPr>
        <b/>
        <sz val="8"/>
        <color rgb="FF000000"/>
        <rFont val="Arial"/>
        <family val="2"/>
      </rPr>
      <t xml:space="preserve"> DILANN NAWELD</t>
    </r>
  </si>
  <si>
    <r>
      <t xml:space="preserve">INOCENTE QUIROZ </t>
    </r>
    <r>
      <rPr>
        <b/>
        <sz val="8"/>
        <color rgb="FF000000"/>
        <rFont val="Arial"/>
        <family val="2"/>
      </rPr>
      <t>ALEXANDER</t>
    </r>
  </si>
  <si>
    <r>
      <t xml:space="preserve">JORA AMBROCIO </t>
    </r>
    <r>
      <rPr>
        <b/>
        <sz val="8"/>
        <color rgb="FF000000"/>
        <rFont val="Arial"/>
        <family val="2"/>
      </rPr>
      <t>JHOEL</t>
    </r>
  </si>
  <si>
    <r>
      <t xml:space="preserve">JUAREZ SANTOS </t>
    </r>
    <r>
      <rPr>
        <b/>
        <sz val="8"/>
        <color rgb="FF000000"/>
        <rFont val="Arial"/>
        <family val="2"/>
      </rPr>
      <t>AGUSTIN YAMIL JAIR</t>
    </r>
  </si>
  <si>
    <r>
      <t xml:space="preserve">LLANOS COCA </t>
    </r>
    <r>
      <rPr>
        <b/>
        <sz val="8"/>
        <color rgb="FF000000"/>
        <rFont val="Arial"/>
        <family val="2"/>
      </rPr>
      <t>JOHN</t>
    </r>
  </si>
  <si>
    <r>
      <t xml:space="preserve">MAMANI GARCIA </t>
    </r>
    <r>
      <rPr>
        <b/>
        <sz val="8"/>
        <color rgb="FF000000"/>
        <rFont val="Arial"/>
        <family val="2"/>
      </rPr>
      <t>ALEXIS LIONEL</t>
    </r>
  </si>
  <si>
    <r>
      <t xml:space="preserve">MJURILLO MORALES </t>
    </r>
    <r>
      <rPr>
        <b/>
        <sz val="8"/>
        <color rgb="FF000000"/>
        <rFont val="Arial"/>
        <family val="2"/>
      </rPr>
      <t>LIZ JHULIANA</t>
    </r>
  </si>
  <si>
    <r>
      <t xml:space="preserve">PANIAGUA COCA </t>
    </r>
    <r>
      <rPr>
        <b/>
        <sz val="8"/>
        <color rgb="FF000000"/>
        <rFont val="Arial"/>
        <family val="2"/>
      </rPr>
      <t>CAMILA MASIEL</t>
    </r>
  </si>
  <si>
    <r>
      <t xml:space="preserve">PAUCARA  VASQUEZ </t>
    </r>
    <r>
      <rPr>
        <b/>
        <sz val="8"/>
        <color theme="1"/>
        <rFont val="Arial"/>
        <family val="2"/>
      </rPr>
      <t>DIEGO ANTONI</t>
    </r>
  </si>
  <si>
    <r>
      <t xml:space="preserve">PEREZ INOCENTE </t>
    </r>
    <r>
      <rPr>
        <b/>
        <sz val="8"/>
        <color rgb="FF000000"/>
        <rFont val="Arial"/>
        <family val="2"/>
      </rPr>
      <t>SAMUEL SANDER</t>
    </r>
  </si>
  <si>
    <r>
      <rPr>
        <sz val="8"/>
        <color rgb="FF000000"/>
        <rFont val="Arial"/>
        <family val="2"/>
      </rPr>
      <t>ROCHA LOZA</t>
    </r>
    <r>
      <rPr>
        <b/>
        <sz val="8"/>
        <color rgb="FF000000"/>
        <rFont val="Arial"/>
        <family val="2"/>
      </rPr>
      <t xml:space="preserve"> NAYELI</t>
    </r>
  </si>
  <si>
    <r>
      <t>SALAZAR CONDO</t>
    </r>
    <r>
      <rPr>
        <b/>
        <sz val="8"/>
        <color rgb="FF000000"/>
        <rFont val="Arial"/>
        <family val="2"/>
      </rPr>
      <t xml:space="preserve"> ABIGAIL</t>
    </r>
  </si>
  <si>
    <r>
      <t xml:space="preserve">SALAZAR JAMIRA </t>
    </r>
    <r>
      <rPr>
        <b/>
        <sz val="8"/>
        <color rgb="FF000000"/>
        <rFont val="Arial"/>
        <family val="2"/>
      </rPr>
      <t>DANIEL</t>
    </r>
  </si>
  <si>
    <r>
      <t xml:space="preserve">SANCHEZ ALAVI </t>
    </r>
    <r>
      <rPr>
        <b/>
        <sz val="8"/>
        <color rgb="FF000000"/>
        <rFont val="Arial"/>
        <family val="2"/>
      </rPr>
      <t>ESTIBEN</t>
    </r>
  </si>
  <si>
    <r>
      <t xml:space="preserve">SANTOS QUIROZ  </t>
    </r>
    <r>
      <rPr>
        <b/>
        <sz val="8"/>
        <color rgb="FF000000"/>
        <rFont val="Arial"/>
        <family val="2"/>
      </rPr>
      <t>KEYLI ANDIA</t>
    </r>
  </si>
  <si>
    <r>
      <t xml:space="preserve">TAPIA FLORES </t>
    </r>
    <r>
      <rPr>
        <b/>
        <sz val="8"/>
        <color rgb="FF000000"/>
        <rFont val="Arial"/>
        <family val="2"/>
      </rPr>
      <t>ANAHI DIANA</t>
    </r>
  </si>
  <si>
    <r>
      <t xml:space="preserve">TORREZ MAITA </t>
    </r>
    <r>
      <rPr>
        <b/>
        <sz val="8"/>
        <color rgb="FF000000"/>
        <rFont val="Arial"/>
        <family val="2"/>
      </rPr>
      <t>ROYEER EFRAIN</t>
    </r>
  </si>
  <si>
    <r>
      <t xml:space="preserve">VASQUEZ TASTACA </t>
    </r>
    <r>
      <rPr>
        <b/>
        <sz val="8"/>
        <color rgb="FF000000"/>
        <rFont val="Arial"/>
        <family val="2"/>
      </rPr>
      <t>KENIA</t>
    </r>
  </si>
  <si>
    <r>
      <t xml:space="preserve">MJURILLO MORALES </t>
    </r>
    <r>
      <rPr>
        <b/>
        <sz val="9"/>
        <color rgb="FF000000"/>
        <rFont val="Arial"/>
        <family val="2"/>
      </rPr>
      <t>LIZ JHULIANA</t>
    </r>
  </si>
  <si>
    <r>
      <t xml:space="preserve">VASQUEZ TASTACA </t>
    </r>
    <r>
      <rPr>
        <b/>
        <sz val="9"/>
        <color rgb="FF000000"/>
        <rFont val="Arial"/>
        <family val="2"/>
      </rPr>
      <t>KENIA</t>
    </r>
  </si>
  <si>
    <t xml:space="preserve">LISTA DE MATERIALES ENTREGADOS                                        </t>
  </si>
  <si>
    <t>NOMBRE Y APELLIDO</t>
  </si>
  <si>
    <t>MAR</t>
  </si>
  <si>
    <t>MIER</t>
  </si>
  <si>
    <t>FEBRERO</t>
  </si>
  <si>
    <t>MARZO</t>
  </si>
  <si>
    <t>LECTURAS DIARIAS DEL TEXTO</t>
  </si>
  <si>
    <r>
      <t>MURILLO MORALES</t>
    </r>
    <r>
      <rPr>
        <b/>
        <sz val="6"/>
        <color rgb="FF000000"/>
        <rFont val="Arial"/>
        <family val="2"/>
      </rPr>
      <t xml:space="preserve"> LIZ JHULIANA</t>
    </r>
  </si>
  <si>
    <r>
      <t xml:space="preserve">MURILLO MORALES </t>
    </r>
    <r>
      <rPr>
        <b/>
        <sz val="6"/>
        <color rgb="FF000000"/>
        <rFont val="Arial"/>
        <family val="2"/>
      </rPr>
      <t>LIZ JHULIANA</t>
    </r>
  </si>
  <si>
    <t>CUADERNO</t>
  </si>
  <si>
    <r>
      <t xml:space="preserve">LLANOS COCA </t>
    </r>
    <r>
      <rPr>
        <b/>
        <sz val="6"/>
        <color rgb="FF000000"/>
        <rFont val="Calibri"/>
        <family val="2"/>
        <scheme val="minor"/>
      </rPr>
      <t>JOHN</t>
    </r>
  </si>
  <si>
    <r>
      <t xml:space="preserve">MAMANI GARCIA </t>
    </r>
    <r>
      <rPr>
        <b/>
        <sz val="6"/>
        <color rgb="FF000000"/>
        <rFont val="Calibri"/>
        <family val="2"/>
        <scheme val="minor"/>
      </rPr>
      <t>ALEXIS LIONEL</t>
    </r>
  </si>
  <si>
    <r>
      <t>MURILLO MORALES</t>
    </r>
    <r>
      <rPr>
        <b/>
        <sz val="6"/>
        <color rgb="FF000000"/>
        <rFont val="Calibri"/>
        <family val="2"/>
        <scheme val="minor"/>
      </rPr>
      <t xml:space="preserve"> </t>
    </r>
    <r>
      <rPr>
        <b/>
        <sz val="8"/>
        <color rgb="FF000000"/>
        <rFont val="Calibri"/>
        <family val="2"/>
        <scheme val="minor"/>
      </rPr>
      <t>LIZ JHULIANA</t>
    </r>
  </si>
  <si>
    <r>
      <t xml:space="preserve">PANIAGUA COCA </t>
    </r>
    <r>
      <rPr>
        <b/>
        <sz val="6"/>
        <color rgb="FF000000"/>
        <rFont val="Calibri"/>
        <family val="2"/>
        <scheme val="minor"/>
      </rPr>
      <t>CAMILA MASIEL</t>
    </r>
  </si>
  <si>
    <r>
      <t xml:space="preserve">PAUCARA  VASQUEZ </t>
    </r>
    <r>
      <rPr>
        <b/>
        <sz val="6"/>
        <color theme="1"/>
        <rFont val="Calibri"/>
        <family val="2"/>
        <scheme val="minor"/>
      </rPr>
      <t>DIEGO ANTONI</t>
    </r>
  </si>
  <si>
    <r>
      <t xml:space="preserve">PEREZ INOCENTE </t>
    </r>
    <r>
      <rPr>
        <b/>
        <sz val="6"/>
        <color rgb="FF000000"/>
        <rFont val="Calibri"/>
        <family val="2"/>
        <scheme val="minor"/>
      </rPr>
      <t>SAMUEL SANDER</t>
    </r>
  </si>
  <si>
    <r>
      <rPr>
        <sz val="6"/>
        <color rgb="FF000000"/>
        <rFont val="Calibri"/>
        <family val="2"/>
        <scheme val="minor"/>
      </rPr>
      <t>ROCHA LOZA</t>
    </r>
    <r>
      <rPr>
        <b/>
        <sz val="6"/>
        <color rgb="FF000000"/>
        <rFont val="Calibri"/>
        <family val="2"/>
        <scheme val="minor"/>
      </rPr>
      <t xml:space="preserve"> NAYELI</t>
    </r>
  </si>
  <si>
    <r>
      <t>SALAZAR CONDO</t>
    </r>
    <r>
      <rPr>
        <b/>
        <sz val="6"/>
        <color rgb="FF000000"/>
        <rFont val="Calibri"/>
        <family val="2"/>
        <scheme val="minor"/>
      </rPr>
      <t xml:space="preserve"> ABIGAIL</t>
    </r>
  </si>
  <si>
    <r>
      <t xml:space="preserve">SALAZAR JAMIRA </t>
    </r>
    <r>
      <rPr>
        <b/>
        <sz val="6"/>
        <color rgb="FF000000"/>
        <rFont val="Calibri"/>
        <family val="2"/>
        <scheme val="minor"/>
      </rPr>
      <t>DANIEL</t>
    </r>
  </si>
  <si>
    <r>
      <t xml:space="preserve">SANCHEZ ALAVI </t>
    </r>
    <r>
      <rPr>
        <b/>
        <sz val="6"/>
        <color rgb="FF000000"/>
        <rFont val="Calibri"/>
        <family val="2"/>
        <scheme val="minor"/>
      </rPr>
      <t>ESTIBEN</t>
    </r>
  </si>
  <si>
    <r>
      <t xml:space="preserve">SANTOS QUIROZ  </t>
    </r>
    <r>
      <rPr>
        <b/>
        <sz val="6"/>
        <color rgb="FF000000"/>
        <rFont val="Calibri"/>
        <family val="2"/>
        <scheme val="minor"/>
      </rPr>
      <t>KEYLI ANDIA</t>
    </r>
  </si>
  <si>
    <r>
      <t xml:space="preserve">TAPIA FLORES </t>
    </r>
    <r>
      <rPr>
        <b/>
        <sz val="6"/>
        <color rgb="FF000000"/>
        <rFont val="Calibri"/>
        <family val="2"/>
        <scheme val="minor"/>
      </rPr>
      <t>ANAHI DIANA</t>
    </r>
  </si>
  <si>
    <r>
      <t xml:space="preserve">TORREZ MAITA </t>
    </r>
    <r>
      <rPr>
        <b/>
        <sz val="6"/>
        <color rgb="FF000000"/>
        <rFont val="Calibri"/>
        <family val="2"/>
        <scheme val="minor"/>
      </rPr>
      <t>ROYEER EFRAIN</t>
    </r>
  </si>
  <si>
    <r>
      <t xml:space="preserve">VASQUEZ TASTACA </t>
    </r>
    <r>
      <rPr>
        <b/>
        <sz val="6"/>
        <color rgb="FF000000"/>
        <rFont val="Calibri"/>
        <family val="2"/>
        <scheme val="minor"/>
      </rPr>
      <t>KENIA</t>
    </r>
  </si>
  <si>
    <t>CONTROL DE ENTREGA DE TAREAS 2do TRIMESTRE</t>
  </si>
  <si>
    <t xml:space="preserve">DESCOMPONE EL MCD </t>
  </si>
  <si>
    <t>1er REPASO SOBRE Pala. Determinantes</t>
  </si>
  <si>
    <t>Inves. Sobre las siglas</t>
  </si>
  <si>
    <t>YA SE VACUNO</t>
  </si>
  <si>
    <t>fracc. Equivalentes</t>
  </si>
  <si>
    <t>Inves abreviaturas</t>
  </si>
  <si>
    <t>dibujos de mezclas homo y heter</t>
  </si>
  <si>
    <t>palabras quechua "P"</t>
  </si>
  <si>
    <t>cuestionario siglas y abrevia</t>
  </si>
  <si>
    <t>Ejer.desc. Ampli.Simpli</t>
  </si>
  <si>
    <t>Cuad.27 mayo</t>
  </si>
  <si>
    <t>6to B</t>
  </si>
  <si>
    <t>CURSO</t>
  </si>
  <si>
    <t>Nª</t>
  </si>
  <si>
    <t>MONTO</t>
  </si>
  <si>
    <t>6to B sec</t>
  </si>
  <si>
    <t>5to A prim</t>
  </si>
  <si>
    <t>2do B Prim</t>
  </si>
  <si>
    <t xml:space="preserve">NOMINA DE INSCRITOS PARA LA CARRERA DE CARRITOS SIN MOTOR </t>
  </si>
  <si>
    <t>INICIAL</t>
  </si>
  <si>
    <t>NOMBRES DE CORREDORES</t>
  </si>
  <si>
    <t>Nº CARRITO</t>
  </si>
  <si>
    <t>1ro A</t>
  </si>
  <si>
    <t>1ro B</t>
  </si>
  <si>
    <t>2do A</t>
  </si>
  <si>
    <t>2do B</t>
  </si>
  <si>
    <t>3ro A</t>
  </si>
  <si>
    <t>3ro B</t>
  </si>
  <si>
    <t>4to A</t>
  </si>
  <si>
    <t>4to B</t>
  </si>
  <si>
    <t>5to A</t>
  </si>
  <si>
    <t>5to B</t>
  </si>
  <si>
    <t>6to A</t>
  </si>
  <si>
    <t>1ro C</t>
  </si>
  <si>
    <t>2do C</t>
  </si>
  <si>
    <t>3ro C</t>
  </si>
  <si>
    <t>4to C</t>
  </si>
  <si>
    <t>5to C</t>
  </si>
  <si>
    <t>Elavoracion diasp. Desastres nat.</t>
  </si>
  <si>
    <t>JHOEL PANIAGUA</t>
  </si>
  <si>
    <t>MATIAS JUARES</t>
  </si>
  <si>
    <t>MICHEL INOCENTE</t>
  </si>
  <si>
    <t>ZAGARRA</t>
  </si>
  <si>
    <t>OBSERVACIONES</t>
  </si>
  <si>
    <t>GENESIS QUIROZ</t>
  </si>
  <si>
    <t>LIAN COCA</t>
  </si>
  <si>
    <t>DANIEL PEREZ</t>
  </si>
  <si>
    <t>SAMI AGUILAR</t>
  </si>
  <si>
    <t>YAMIL JUARES</t>
  </si>
  <si>
    <t>JHOEL JORA</t>
  </si>
  <si>
    <t>SANDER PEREZ</t>
  </si>
  <si>
    <t>DILAND GUZMAN</t>
  </si>
  <si>
    <t>ALEXIS MAMANI</t>
  </si>
  <si>
    <t>JHEICO COLQUE</t>
  </si>
  <si>
    <t>KENIA VASQUEZ</t>
  </si>
  <si>
    <t>TABITA FLORES</t>
  </si>
  <si>
    <t>CAMILA PANIAGUA</t>
  </si>
  <si>
    <t>NAYELI ROCHA</t>
  </si>
  <si>
    <t>GAEL SALAZAR</t>
  </si>
  <si>
    <t>JOSE COLQUE</t>
  </si>
  <si>
    <t>ANDRES CRUZ</t>
  </si>
  <si>
    <t>ISAC VENEGAS</t>
  </si>
  <si>
    <t>ELIAZAR SALAZAR</t>
  </si>
  <si>
    <t>CESAR SANTOS</t>
  </si>
  <si>
    <t>15+5</t>
  </si>
  <si>
    <t>JHEREMY CHAVEZ</t>
  </si>
  <si>
    <t>ALAN CABRERA</t>
  </si>
  <si>
    <t>10+</t>
  </si>
  <si>
    <t>PRIMARIA, 3ra CATEGORIA ( 5to y 6to)</t>
  </si>
  <si>
    <t>PRIMARIA, 2da CATEGORIA (3ro y 4to)</t>
  </si>
  <si>
    <t>PRIMARIA, 1ra CATEGORIA ( 1ro y 2do)</t>
  </si>
  <si>
    <t>SECUNDARIA, 1ra CATEGORIA ( 1ro y 2do)</t>
  </si>
  <si>
    <t>SAID NINA</t>
  </si>
  <si>
    <t>KEVIN QUIROGA</t>
  </si>
  <si>
    <t>JOSUE FLORES</t>
  </si>
  <si>
    <t>ELISEO ACHAYA</t>
  </si>
  <si>
    <t>23+17</t>
  </si>
  <si>
    <t>FAVIAN INOCENTE</t>
  </si>
  <si>
    <t>BEYMAR INOCENTE</t>
  </si>
  <si>
    <t>8+25+</t>
  </si>
  <si>
    <t xml:space="preserve">BRAYAN PINTO </t>
  </si>
  <si>
    <t>IVAN FLORES</t>
  </si>
  <si>
    <t xml:space="preserve">2do </t>
  </si>
  <si>
    <t>JHOJAN CAVO</t>
  </si>
  <si>
    <t>JHON CASTELO</t>
  </si>
  <si>
    <t>SECUNDARIA, 2da CATEGORIA ( 3ro y 4to )</t>
  </si>
  <si>
    <t>JHILMAS INOCENTE</t>
  </si>
  <si>
    <t>MOISES RODRIGUEZ</t>
  </si>
  <si>
    <t>ANDRES GARCIA</t>
  </si>
  <si>
    <t>DAVIEL AGUILAR</t>
  </si>
  <si>
    <t>GONZALO</t>
  </si>
  <si>
    <t>WILLIAM</t>
  </si>
  <si>
    <t>DAVID PINTO</t>
  </si>
  <si>
    <t>FRANS VALENCIA</t>
  </si>
  <si>
    <t>JUAN JIMENES</t>
  </si>
  <si>
    <t>RUBEN JORA</t>
  </si>
  <si>
    <t>20+20</t>
  </si>
  <si>
    <t>VIDAL AGUILAR</t>
  </si>
  <si>
    <t>CESAR ESCOBAR</t>
  </si>
  <si>
    <t xml:space="preserve">4to </t>
  </si>
  <si>
    <t>FRANKLIN JIMENE</t>
  </si>
  <si>
    <t>EMANUEL ROCABADO</t>
  </si>
  <si>
    <t>SECUNDARIA, 3ra CATEGORIA ( 5to y 6to )</t>
  </si>
  <si>
    <t xml:space="preserve">MARCELO </t>
  </si>
  <si>
    <t>CRISTIAN</t>
  </si>
  <si>
    <t>9+</t>
  </si>
  <si>
    <t>MATEO</t>
  </si>
  <si>
    <t>WILDER</t>
  </si>
  <si>
    <t xml:space="preserve">5to </t>
  </si>
  <si>
    <t>5to</t>
  </si>
  <si>
    <t>WILDER VIA</t>
  </si>
  <si>
    <t>RONALD CRUZ</t>
  </si>
  <si>
    <t>VLADIMIR GUZMAN</t>
  </si>
  <si>
    <t>JHERSON CATORCENO</t>
  </si>
  <si>
    <t>6to</t>
  </si>
  <si>
    <t>1ro</t>
  </si>
  <si>
    <t>GAEL GARCIA</t>
  </si>
  <si>
    <t>SANTINO HERBAS</t>
  </si>
  <si>
    <t>3ro</t>
  </si>
  <si>
    <t xml:space="preserve">GAEL COCA </t>
  </si>
  <si>
    <t>INICIAL 2 A</t>
  </si>
  <si>
    <t>LUIS SANTIAGO SIERRA</t>
  </si>
  <si>
    <t>MAYA SANDY JIMENEZ</t>
  </si>
  <si>
    <t>EN LA CATEGORIA PPFF Y PROFESORES</t>
  </si>
  <si>
    <t>ZULMA COCA</t>
  </si>
  <si>
    <t>NORMA INOCENTE</t>
  </si>
  <si>
    <t>JUANA ZOTO</t>
  </si>
  <si>
    <t>SONIA NOLASCO</t>
  </si>
  <si>
    <t>6 to B</t>
  </si>
  <si>
    <t>JULIO CESAR MERCADO</t>
  </si>
  <si>
    <t xml:space="preserve">ELMER </t>
  </si>
  <si>
    <t>MAMAS Y PAPAS</t>
  </si>
  <si>
    <t>PROFESORES</t>
  </si>
  <si>
    <t>cuestionario mesclas</t>
  </si>
  <si>
    <t>Mapa concep. Energia</t>
  </si>
  <si>
    <t>cuestionario  sintesis y resumen</t>
  </si>
  <si>
    <t>Infor. Sobre  un mapa concep</t>
  </si>
  <si>
    <r>
      <t xml:space="preserve">ARIAS ARGOTE </t>
    </r>
    <r>
      <rPr>
        <b/>
        <sz val="6"/>
        <color rgb="FFFF0000"/>
        <rFont val="Arial"/>
        <family val="2"/>
      </rPr>
      <t>ARACELY</t>
    </r>
  </si>
  <si>
    <r>
      <t>ESCOBAR MENDIETA</t>
    </r>
    <r>
      <rPr>
        <b/>
        <sz val="6"/>
        <color rgb="FFFF0000"/>
        <rFont val="Arial"/>
        <family val="2"/>
      </rPr>
      <t xml:space="preserve"> KEVIN</t>
    </r>
  </si>
  <si>
    <r>
      <t xml:space="preserve">GUTIERREZ DELGADILLO </t>
    </r>
    <r>
      <rPr>
        <b/>
        <sz val="6"/>
        <color rgb="FFFF0000"/>
        <rFont val="Arial"/>
        <family val="2"/>
      </rPr>
      <t>ERIKA LIZETH</t>
    </r>
  </si>
  <si>
    <r>
      <t xml:space="preserve">LLANOS COCA </t>
    </r>
    <r>
      <rPr>
        <b/>
        <sz val="6"/>
        <color rgb="FFFF0000"/>
        <rFont val="Arial"/>
        <family val="2"/>
      </rPr>
      <t>JOHN</t>
    </r>
  </si>
  <si>
    <r>
      <t xml:space="preserve">MAMANI GARCIA </t>
    </r>
    <r>
      <rPr>
        <b/>
        <sz val="6"/>
        <color rgb="FFFF0000"/>
        <rFont val="Arial"/>
        <family val="2"/>
      </rPr>
      <t>ALEXIS LIONEL</t>
    </r>
  </si>
  <si>
    <r>
      <t xml:space="preserve">PAUCARA  VASQUEZ </t>
    </r>
    <r>
      <rPr>
        <b/>
        <sz val="6"/>
        <color rgb="FFFF0000"/>
        <rFont val="Arial"/>
        <family val="2"/>
      </rPr>
      <t>DIEGO ANTONI</t>
    </r>
  </si>
  <si>
    <r>
      <rPr>
        <sz val="6"/>
        <color rgb="FFFF0000"/>
        <rFont val="Arial"/>
        <family val="2"/>
      </rPr>
      <t>ROCHA LOZA</t>
    </r>
    <r>
      <rPr>
        <b/>
        <sz val="6"/>
        <color rgb="FFFF0000"/>
        <rFont val="Arial"/>
        <family val="2"/>
      </rPr>
      <t xml:space="preserve"> NAYELI</t>
    </r>
  </si>
  <si>
    <r>
      <t xml:space="preserve">TAPIA FLORES </t>
    </r>
    <r>
      <rPr>
        <b/>
        <sz val="6"/>
        <color rgb="FFFF0000"/>
        <rFont val="Arial"/>
        <family val="2"/>
      </rPr>
      <t>ANAHI DIANA</t>
    </r>
  </si>
  <si>
    <r>
      <t>COLQUE ROJAS</t>
    </r>
    <r>
      <rPr>
        <b/>
        <sz val="6"/>
        <color rgb="FFFF0000"/>
        <rFont val="Arial"/>
        <family val="2"/>
      </rPr>
      <t xml:space="preserve"> RAUL</t>
    </r>
  </si>
  <si>
    <r>
      <t xml:space="preserve">INOCENTE QUIROZ </t>
    </r>
    <r>
      <rPr>
        <b/>
        <sz val="6"/>
        <color rgb="FFFF0000"/>
        <rFont val="Arial"/>
        <family val="2"/>
      </rPr>
      <t>ALEXANDER</t>
    </r>
  </si>
  <si>
    <r>
      <t xml:space="preserve">SANCHEZ ALAVI </t>
    </r>
    <r>
      <rPr>
        <b/>
        <sz val="6"/>
        <color rgb="FFFF0000"/>
        <rFont val="Arial"/>
        <family val="2"/>
      </rPr>
      <t>ESTIBEN</t>
    </r>
  </si>
  <si>
    <r>
      <t xml:space="preserve">CONDORI </t>
    </r>
    <r>
      <rPr>
        <b/>
        <sz val="6"/>
        <color rgb="FFFF0000"/>
        <rFont val="Arial"/>
        <family val="2"/>
      </rPr>
      <t>HELEN</t>
    </r>
  </si>
  <si>
    <r>
      <t xml:space="preserve">JORA AMBROCIO </t>
    </r>
    <r>
      <rPr>
        <b/>
        <sz val="6"/>
        <color rgb="FFFF0000"/>
        <rFont val="Arial"/>
        <family val="2"/>
      </rPr>
      <t>JHOEL</t>
    </r>
  </si>
  <si>
    <t>10 pregfuntas entrevista</t>
  </si>
  <si>
    <t>suma,resta y mult fracciones</t>
  </si>
  <si>
    <t>simpli y desarro suma fraccio</t>
  </si>
  <si>
    <t>Cuestio d entrevista</t>
  </si>
  <si>
    <t>RODRIGUEZ APAZA JASMIN NELANI</t>
  </si>
  <si>
    <t>fracciones mixtas</t>
  </si>
  <si>
    <r>
      <t xml:space="preserve">RODRIGUEZ APAZA </t>
    </r>
    <r>
      <rPr>
        <b/>
        <sz val="6"/>
        <color rgb="FF000000"/>
        <rFont val="Arial"/>
        <family val="2"/>
      </rPr>
      <t>JASMIN NELANI</t>
    </r>
  </si>
  <si>
    <t>presentacion de maqueta comp</t>
  </si>
  <si>
    <r>
      <t xml:space="preserve">RODRIGUES APAZA </t>
    </r>
    <r>
      <rPr>
        <b/>
        <sz val="7"/>
        <color theme="1"/>
        <rFont val="Calibri"/>
        <family val="2"/>
        <scheme val="minor"/>
      </rPr>
      <t>JASMIN MELANI</t>
    </r>
  </si>
  <si>
    <t>cuestionario de tipos de energia</t>
  </si>
  <si>
    <t>Inves. Decla-recitacion</t>
  </si>
  <si>
    <t>declamacion inventado</t>
  </si>
  <si>
    <t>cuestionario declamacion</t>
  </si>
  <si>
    <t>fracc.convinadas con mcm</t>
  </si>
  <si>
    <t>Expo. De experi. Tipos de energia</t>
  </si>
  <si>
    <t xml:space="preserve">Repaso srpresa </t>
  </si>
  <si>
    <t>Info. Sobre expo. Energia</t>
  </si>
  <si>
    <t>Expo, 17 de agosto</t>
  </si>
  <si>
    <t>Expo, a cursos Sec.</t>
  </si>
  <si>
    <t>Trensado en madera</t>
  </si>
  <si>
    <t>VOCABILARIO</t>
  </si>
  <si>
    <t>Rep.sor en pareja</t>
  </si>
  <si>
    <t>Div. De frac</t>
  </si>
  <si>
    <t>EVALUACION LEC.</t>
  </si>
  <si>
    <t>EVALU. ESCRITA</t>
  </si>
  <si>
    <t>10 preguntas entrevista</t>
  </si>
  <si>
    <t xml:space="preserve"> </t>
  </si>
  <si>
    <t>Creacuion dias. 17 de agosto</t>
  </si>
  <si>
    <t>Creacion dias. 17 de agosto</t>
  </si>
  <si>
    <r>
      <t xml:space="preserve">COCA SENZANO </t>
    </r>
    <r>
      <rPr>
        <b/>
        <sz val="6"/>
        <color theme="1"/>
        <rFont val="Arial"/>
        <family val="2"/>
      </rPr>
      <t>DAMARIS</t>
    </r>
  </si>
  <si>
    <r>
      <t xml:space="preserve">COLQUE NOLASCO </t>
    </r>
    <r>
      <rPr>
        <b/>
        <sz val="6"/>
        <color theme="1"/>
        <rFont val="Arial"/>
        <family val="2"/>
      </rPr>
      <t>JHEICO ABNER</t>
    </r>
  </si>
  <si>
    <r>
      <t>COLQUE ROJAS</t>
    </r>
    <r>
      <rPr>
        <b/>
        <sz val="6"/>
        <color theme="1"/>
        <rFont val="Arial"/>
        <family val="2"/>
      </rPr>
      <t xml:space="preserve"> RAUL</t>
    </r>
  </si>
  <si>
    <r>
      <t xml:space="preserve">CONDORI </t>
    </r>
    <r>
      <rPr>
        <b/>
        <sz val="6"/>
        <color theme="1"/>
        <rFont val="Arial"/>
        <family val="2"/>
      </rPr>
      <t>HELEN</t>
    </r>
  </si>
  <si>
    <r>
      <t>ESCOBAR MENDIETA</t>
    </r>
    <r>
      <rPr>
        <b/>
        <sz val="6"/>
        <color theme="1"/>
        <rFont val="Arial"/>
        <family val="2"/>
      </rPr>
      <t xml:space="preserve"> KEVIN</t>
    </r>
  </si>
  <si>
    <r>
      <t>FLORES ZOTO T</t>
    </r>
    <r>
      <rPr>
        <b/>
        <sz val="6"/>
        <color theme="1"/>
        <rFont val="Arial"/>
        <family val="2"/>
      </rPr>
      <t>ABITA SARAI</t>
    </r>
  </si>
  <si>
    <r>
      <t xml:space="preserve">GUSMAN ROJAS </t>
    </r>
    <r>
      <rPr>
        <b/>
        <sz val="6"/>
        <color theme="1"/>
        <rFont val="Arial"/>
        <family val="2"/>
      </rPr>
      <t>JUAN LUIS</t>
    </r>
  </si>
  <si>
    <r>
      <t xml:space="preserve">GUTIERREZ DELGADILLO </t>
    </r>
    <r>
      <rPr>
        <b/>
        <sz val="6"/>
        <color theme="1"/>
        <rFont val="Arial"/>
        <family val="2"/>
      </rPr>
      <t>ERIKA LIZETH</t>
    </r>
  </si>
  <si>
    <r>
      <t>GUZMAN  CORREA</t>
    </r>
    <r>
      <rPr>
        <b/>
        <sz val="6"/>
        <color theme="1"/>
        <rFont val="Arial"/>
        <family val="2"/>
      </rPr>
      <t xml:space="preserve"> DILANN NAWELD</t>
    </r>
  </si>
  <si>
    <r>
      <t xml:space="preserve">INOCENTE QUIROZ </t>
    </r>
    <r>
      <rPr>
        <b/>
        <sz val="6"/>
        <color theme="1"/>
        <rFont val="Arial"/>
        <family val="2"/>
      </rPr>
      <t>ALEXANDER</t>
    </r>
  </si>
  <si>
    <r>
      <t xml:space="preserve">LLANOS COCA </t>
    </r>
    <r>
      <rPr>
        <b/>
        <sz val="6"/>
        <color theme="1"/>
        <rFont val="Arial"/>
        <family val="2"/>
      </rPr>
      <t>JOHN</t>
    </r>
  </si>
  <si>
    <r>
      <t xml:space="preserve">MAMANI GARCIA </t>
    </r>
    <r>
      <rPr>
        <b/>
        <sz val="6"/>
        <color theme="1"/>
        <rFont val="Arial"/>
        <family val="2"/>
      </rPr>
      <t>ALEXIS LIONEL</t>
    </r>
  </si>
  <si>
    <r>
      <t xml:space="preserve">MURILLO MORALES </t>
    </r>
    <r>
      <rPr>
        <b/>
        <sz val="6"/>
        <color theme="1"/>
        <rFont val="Arial"/>
        <family val="2"/>
      </rPr>
      <t>LIZ JHULIANA</t>
    </r>
  </si>
  <si>
    <r>
      <t xml:space="preserve">PANIAGUA COCA </t>
    </r>
    <r>
      <rPr>
        <b/>
        <sz val="6"/>
        <color theme="1"/>
        <rFont val="Arial"/>
        <family val="2"/>
      </rPr>
      <t>CAMILA MASIEL</t>
    </r>
  </si>
  <si>
    <r>
      <t xml:space="preserve">PEREZ INOCENTE </t>
    </r>
    <r>
      <rPr>
        <b/>
        <sz val="6"/>
        <color theme="1"/>
        <rFont val="Arial"/>
        <family val="2"/>
      </rPr>
      <t>SAMUEL SANDER</t>
    </r>
  </si>
  <si>
    <r>
      <rPr>
        <sz val="6"/>
        <color theme="1"/>
        <rFont val="Arial"/>
        <family val="2"/>
      </rPr>
      <t>ROCHA LOZA</t>
    </r>
    <r>
      <rPr>
        <b/>
        <sz val="6"/>
        <color theme="1"/>
        <rFont val="Arial"/>
        <family val="2"/>
      </rPr>
      <t xml:space="preserve"> NAYELI</t>
    </r>
  </si>
  <si>
    <r>
      <t>SALAZAR CONDO</t>
    </r>
    <r>
      <rPr>
        <b/>
        <sz val="6"/>
        <color theme="1"/>
        <rFont val="Arial"/>
        <family val="2"/>
      </rPr>
      <t xml:space="preserve"> ABIGAIL</t>
    </r>
  </si>
  <si>
    <r>
      <t xml:space="preserve">SALAZAR JAMIRA </t>
    </r>
    <r>
      <rPr>
        <b/>
        <sz val="6"/>
        <color theme="1"/>
        <rFont val="Arial"/>
        <family val="2"/>
      </rPr>
      <t>DANIEL</t>
    </r>
  </si>
  <si>
    <r>
      <t xml:space="preserve">SANCHEZ ALAVI </t>
    </r>
    <r>
      <rPr>
        <b/>
        <sz val="6"/>
        <color theme="1"/>
        <rFont val="Arial"/>
        <family val="2"/>
      </rPr>
      <t>ESTIBEN</t>
    </r>
  </si>
  <si>
    <r>
      <t xml:space="preserve">SANTOS QUIROZ  </t>
    </r>
    <r>
      <rPr>
        <b/>
        <sz val="6"/>
        <color theme="1"/>
        <rFont val="Arial"/>
        <family val="2"/>
      </rPr>
      <t>KEYLI ANDIA</t>
    </r>
  </si>
  <si>
    <r>
      <t xml:space="preserve">TAPIA FLORES </t>
    </r>
    <r>
      <rPr>
        <b/>
        <sz val="6"/>
        <color theme="1"/>
        <rFont val="Arial"/>
        <family val="2"/>
      </rPr>
      <t>ANAHI DIANA</t>
    </r>
  </si>
  <si>
    <r>
      <t xml:space="preserve">TORREZ MAITA </t>
    </r>
    <r>
      <rPr>
        <b/>
        <sz val="6"/>
        <color theme="1"/>
        <rFont val="Arial"/>
        <family val="2"/>
      </rPr>
      <t>ROYEER EFRAIN</t>
    </r>
  </si>
  <si>
    <t>Trab.inves. sociodrama</t>
  </si>
  <si>
    <t>El papelogramo</t>
  </si>
  <si>
    <t>Expo. desidratar</t>
  </si>
  <si>
    <t>experimento</t>
  </si>
  <si>
    <t>m,aqueta</t>
  </si>
  <si>
    <t>maqueta</t>
  </si>
  <si>
    <t>CONTROL DE ENTREGA DE TAREAS 3er TRIMESTRE</t>
  </si>
  <si>
    <t>Ejer. Convi. De area perimetro</t>
  </si>
  <si>
    <t xml:space="preserve">Buscar la desinencia </t>
  </si>
  <si>
    <t>formas verbales de los verbos</t>
  </si>
  <si>
    <t>Expo. Sis, respiratorio</t>
  </si>
  <si>
    <t>Expo. Sis. Respi. Secundaria</t>
  </si>
  <si>
    <t>Oraciones con el verbo de persona</t>
  </si>
  <si>
    <t>Palabras 20 infin. Prtic y Gerundio</t>
  </si>
  <si>
    <t>calculo de superficie</t>
  </si>
  <si>
    <t>Calcula vol en cuerpos geome.</t>
  </si>
  <si>
    <t>Oraciones con "v" y "b"</t>
  </si>
  <si>
    <t>Dibujo de petroglifo</t>
  </si>
  <si>
    <t>dibujo de pictogramas</t>
  </si>
  <si>
    <t>Dib.concecu.conquis,Española</t>
  </si>
  <si>
    <t>Diapo, Reportaje</t>
  </si>
  <si>
    <t>Infor. Procesos de riego</t>
  </si>
  <si>
    <t>Diapositivas , Reportaje</t>
  </si>
  <si>
    <t>REPASO deradio,area rombos y trapesoides</t>
  </si>
  <si>
    <t>Inves. Multi. Y sub med, superficie</t>
  </si>
  <si>
    <t>Paralelismo en figu. Plan. Y cuerp. Geo</t>
  </si>
  <si>
    <t>Inf. Sobre algodón azucar</t>
  </si>
  <si>
    <t>Cons. Maqui. Algodón azucar</t>
  </si>
  <si>
    <t>refranes</t>
  </si>
  <si>
    <t>Coordenadas en el mapa cartesiano</t>
  </si>
  <si>
    <t>Cuestio. Refranes</t>
  </si>
  <si>
    <t>Cuestio. Reportaje</t>
  </si>
  <si>
    <t>Recuerdo lo aprendido</t>
  </si>
  <si>
    <t>Nuneros del 1500 al 2000</t>
  </si>
  <si>
    <t>Cuest. Sis, circulatorio</t>
  </si>
  <si>
    <t>Ejerc.conv.de radio y area</t>
  </si>
  <si>
    <t>ENTREGA DE TEXTOS</t>
  </si>
  <si>
    <t>Dibuj. Heroinas de Bolivia</t>
  </si>
  <si>
    <t>oraciones con conectores EQUIV. Y FINAL</t>
  </si>
  <si>
    <t>Expo. Sist. Rerspiratorio</t>
  </si>
  <si>
    <t>Maquet, Sis, circu.</t>
  </si>
  <si>
    <t>metafora y símil</t>
  </si>
  <si>
    <t>2do repaso matematicas</t>
  </si>
  <si>
    <t>Expo. La fotosisntesis</t>
  </si>
  <si>
    <t>Maquet. Fotosintesis</t>
  </si>
  <si>
    <t>Cuest. Fotosintesis</t>
  </si>
  <si>
    <t>Creacion diaps. Historietas</t>
  </si>
  <si>
    <t>Expo. Maquet. Corazon</t>
  </si>
  <si>
    <t>EXAMEN DE TRENSADO</t>
  </si>
  <si>
    <t>Ex. LECTURA</t>
  </si>
  <si>
    <r>
      <t xml:space="preserve">ARIAS ARGOTE </t>
    </r>
    <r>
      <rPr>
        <b/>
        <sz val="6"/>
        <rFont val="Arial"/>
        <family val="2"/>
      </rPr>
      <t>ARACELY</t>
    </r>
  </si>
  <si>
    <r>
      <t>ESCOBAR MENDIETA</t>
    </r>
    <r>
      <rPr>
        <b/>
        <sz val="6"/>
        <rFont val="Arial"/>
        <family val="2"/>
      </rPr>
      <t xml:space="preserve"> KEVIN</t>
    </r>
  </si>
  <si>
    <r>
      <t xml:space="preserve">GUTIERREZ DELGADILLO </t>
    </r>
    <r>
      <rPr>
        <b/>
        <sz val="6"/>
        <rFont val="Arial"/>
        <family val="2"/>
      </rPr>
      <t>ERIKA LIZETH</t>
    </r>
  </si>
  <si>
    <r>
      <t xml:space="preserve">LLANOS COCA </t>
    </r>
    <r>
      <rPr>
        <b/>
        <sz val="6"/>
        <rFont val="Arial"/>
        <family val="2"/>
      </rPr>
      <t>JOHN</t>
    </r>
  </si>
  <si>
    <r>
      <t xml:space="preserve">MAMANI GARCIA </t>
    </r>
    <r>
      <rPr>
        <b/>
        <sz val="6"/>
        <rFont val="Arial"/>
        <family val="2"/>
      </rPr>
      <t>ALEXIS LIONEL</t>
    </r>
  </si>
  <si>
    <r>
      <t xml:space="preserve">PAUCARA  VASQUEZ </t>
    </r>
    <r>
      <rPr>
        <b/>
        <sz val="6"/>
        <rFont val="Arial"/>
        <family val="2"/>
      </rPr>
      <t>DIEGO ANTONI</t>
    </r>
  </si>
  <si>
    <r>
      <rPr>
        <sz val="6"/>
        <rFont val="Arial"/>
        <family val="2"/>
      </rPr>
      <t>ROCHA LOZA</t>
    </r>
    <r>
      <rPr>
        <b/>
        <sz val="6"/>
        <rFont val="Arial"/>
        <family val="2"/>
      </rPr>
      <t xml:space="preserve"> NAYELI</t>
    </r>
  </si>
  <si>
    <r>
      <t xml:space="preserve">TAPIA FLORES </t>
    </r>
    <r>
      <rPr>
        <b/>
        <sz val="6"/>
        <rFont val="Arial"/>
        <family val="2"/>
      </rPr>
      <t>ANAHI DIANA</t>
    </r>
  </si>
  <si>
    <r>
      <t>COLQUE ROJAS</t>
    </r>
    <r>
      <rPr>
        <b/>
        <sz val="6"/>
        <rFont val="Arial"/>
        <family val="2"/>
      </rPr>
      <t xml:space="preserve"> RAUL</t>
    </r>
  </si>
  <si>
    <r>
      <t xml:space="preserve">CONDORI </t>
    </r>
    <r>
      <rPr>
        <b/>
        <sz val="6"/>
        <rFont val="Arial"/>
        <family val="2"/>
      </rPr>
      <t>HELEN</t>
    </r>
  </si>
  <si>
    <r>
      <t xml:space="preserve">INOCENTE QUIROZ </t>
    </r>
    <r>
      <rPr>
        <b/>
        <sz val="6"/>
        <rFont val="Arial"/>
        <family val="2"/>
      </rPr>
      <t>ALEXANDER</t>
    </r>
  </si>
  <si>
    <r>
      <t xml:space="preserve">JORA AMBROCIO </t>
    </r>
    <r>
      <rPr>
        <b/>
        <sz val="6"/>
        <rFont val="Arial"/>
        <family val="2"/>
      </rPr>
      <t>JHOEL</t>
    </r>
  </si>
  <si>
    <r>
      <t xml:space="preserve">SANCHEZ ALAVI </t>
    </r>
    <r>
      <rPr>
        <b/>
        <sz val="6"/>
        <rFont val="Arial"/>
        <family val="2"/>
      </rPr>
      <t>ESTIBEN</t>
    </r>
  </si>
  <si>
    <t>cuaderno</t>
  </si>
  <si>
    <r>
      <t xml:space="preserve">TORREZ MAITA </t>
    </r>
    <r>
      <rPr>
        <b/>
        <sz val="6"/>
        <color rgb="FFFF0000"/>
        <rFont val="Arial"/>
        <family val="2"/>
      </rPr>
      <t>ROYEER EFRAIN</t>
    </r>
  </si>
  <si>
    <r>
      <t xml:space="preserve">SANTOS QUIROZ  </t>
    </r>
    <r>
      <rPr>
        <b/>
        <sz val="6"/>
        <color rgb="FFFF0000"/>
        <rFont val="Arial"/>
        <family val="2"/>
      </rPr>
      <t>KEYLI ANDIA</t>
    </r>
  </si>
  <si>
    <r>
      <t xml:space="preserve">JUAREZ SANTOS </t>
    </r>
    <r>
      <rPr>
        <b/>
        <sz val="6"/>
        <color rgb="FFFF0000"/>
        <rFont val="Arial"/>
        <family val="2"/>
      </rPr>
      <t>AGUSTIN YAMIL JAIR</t>
    </r>
  </si>
  <si>
    <r>
      <t xml:space="preserve">PEREZ INOCENTE </t>
    </r>
    <r>
      <rPr>
        <b/>
        <sz val="6"/>
        <color rgb="FFFF0000"/>
        <rFont val="Arial"/>
        <family val="2"/>
      </rPr>
      <t>SAMUEL SANDER</t>
    </r>
  </si>
  <si>
    <r>
      <t xml:space="preserve">COLQUE NOLASCO </t>
    </r>
    <r>
      <rPr>
        <b/>
        <sz val="6"/>
        <color rgb="FFFF0000"/>
        <rFont val="Arial"/>
        <family val="2"/>
      </rPr>
      <t>JHEICO ABNER</t>
    </r>
  </si>
  <si>
    <r>
      <t>SALAZAR CONDO</t>
    </r>
    <r>
      <rPr>
        <b/>
        <sz val="6"/>
        <color rgb="FFFF0000"/>
        <rFont val="Arial"/>
        <family val="2"/>
      </rPr>
      <t xml:space="preserve"> ABIGAIL</t>
    </r>
  </si>
  <si>
    <r>
      <t xml:space="preserve">BAENA ZARATE </t>
    </r>
    <r>
      <rPr>
        <b/>
        <sz val="6"/>
        <color rgb="FFFF0000"/>
        <rFont val="Arial"/>
        <family val="2"/>
      </rPr>
      <t>GAEL MATIAS</t>
    </r>
  </si>
  <si>
    <r>
      <t xml:space="preserve">SALAZAR JAMIRA </t>
    </r>
    <r>
      <rPr>
        <b/>
        <sz val="6"/>
        <color rgb="FFFF0000"/>
        <rFont val="Arial"/>
        <family val="2"/>
      </rPr>
      <t>DANIEL</t>
    </r>
  </si>
  <si>
    <r>
      <t xml:space="preserve">COCA SENZANO </t>
    </r>
    <r>
      <rPr>
        <b/>
        <sz val="6"/>
        <color rgb="FFFF0000"/>
        <rFont val="Arial"/>
        <family val="2"/>
      </rPr>
      <t>DAMARIS</t>
    </r>
  </si>
  <si>
    <r>
      <t xml:space="preserve">RODRIGUES APAZA </t>
    </r>
    <r>
      <rPr>
        <b/>
        <sz val="7"/>
        <color rgb="FFFF0000"/>
        <rFont val="Calibri"/>
        <family val="2"/>
        <scheme val="minor"/>
      </rPr>
      <t>JASMIN MELANI</t>
    </r>
  </si>
  <si>
    <r>
      <t xml:space="preserve">VASQUEZ TASTACA </t>
    </r>
    <r>
      <rPr>
        <b/>
        <sz val="6"/>
        <color rgb="FFFF0000"/>
        <rFont val="Arial"/>
        <family val="2"/>
      </rPr>
      <t>KENIA</t>
    </r>
  </si>
  <si>
    <r>
      <t xml:space="preserve">PANIAGUA COCA </t>
    </r>
    <r>
      <rPr>
        <b/>
        <sz val="6"/>
        <color rgb="FFFF0000"/>
        <rFont val="Arial"/>
        <family val="2"/>
      </rPr>
      <t>CAMILA MASIEL</t>
    </r>
  </si>
  <si>
    <r>
      <t>GUZMAN  CORREA</t>
    </r>
    <r>
      <rPr>
        <b/>
        <sz val="6"/>
        <color rgb="FFFF0000"/>
        <rFont val="Arial"/>
        <family val="2"/>
      </rPr>
      <t xml:space="preserve"> DILANN NAWELD</t>
    </r>
  </si>
  <si>
    <r>
      <t>FLORES ZOTO T</t>
    </r>
    <r>
      <rPr>
        <b/>
        <sz val="6"/>
        <color rgb="FFFF0000"/>
        <rFont val="Arial"/>
        <family val="2"/>
      </rPr>
      <t>ABITA SARAI</t>
    </r>
  </si>
  <si>
    <r>
      <t xml:space="preserve">GUSMAN ROJAS </t>
    </r>
    <r>
      <rPr>
        <b/>
        <sz val="6"/>
        <color rgb="FFFF0000"/>
        <rFont val="Arial"/>
        <family val="2"/>
      </rPr>
      <t>JUAN LUIS</t>
    </r>
  </si>
  <si>
    <t>NÓMINA  DE  ESTUDIANTES  DE  6TO "A"  DE PRIMARIA QUE  RECIBIERON     LA VACUNA DE LA INFLUENZA</t>
  </si>
  <si>
    <t>GENERO</t>
  </si>
  <si>
    <t>MASCULINO</t>
  </si>
  <si>
    <t>FEMENINO</t>
  </si>
  <si>
    <t>M</t>
  </si>
  <si>
    <r>
      <t xml:space="preserve">RODRIGUEZ APAZA </t>
    </r>
    <r>
      <rPr>
        <b/>
        <sz val="9"/>
        <color rgb="FF000000"/>
        <rFont val="Arial"/>
        <family val="2"/>
      </rPr>
      <t>JASMIN NELANI</t>
    </r>
  </si>
  <si>
    <t>TOTAL ESTUDIANTES</t>
  </si>
  <si>
    <t>TOTAL FEMENINO</t>
  </si>
  <si>
    <t>TOTAL MASCULINO</t>
  </si>
  <si>
    <r>
      <t xml:space="preserve">APAZA COCA </t>
    </r>
    <r>
      <rPr>
        <b/>
        <sz val="9"/>
        <color rgb="FF000000"/>
        <rFont val="Arial"/>
        <family val="2"/>
      </rPr>
      <t>MARIA</t>
    </r>
  </si>
  <si>
    <t>J</t>
  </si>
  <si>
    <t>V</t>
  </si>
  <si>
    <r>
      <t xml:space="preserve">APAZA COCA </t>
    </r>
    <r>
      <rPr>
        <b/>
        <sz val="8"/>
        <color rgb="FF000000"/>
        <rFont val="Arial"/>
        <family val="2"/>
      </rPr>
      <t>MARIA</t>
    </r>
  </si>
  <si>
    <r>
      <t xml:space="preserve">MURILLO MORALES </t>
    </r>
    <r>
      <rPr>
        <b/>
        <sz val="8"/>
        <color rgb="FF000000"/>
        <rFont val="Arial"/>
        <family val="2"/>
      </rPr>
      <t>LIZ JHULIANA</t>
    </r>
  </si>
  <si>
    <r>
      <t xml:space="preserve">RODRIGUEZ APAZA </t>
    </r>
    <r>
      <rPr>
        <b/>
        <sz val="8"/>
        <color rgb="FF000000"/>
        <rFont val="Arial"/>
        <family val="2"/>
      </rPr>
      <t>JASMIN NELANI</t>
    </r>
  </si>
  <si>
    <r>
      <t xml:space="preserve">JUAREZ SANTOS </t>
    </r>
    <r>
      <rPr>
        <b/>
        <sz val="7"/>
        <color rgb="FF000000"/>
        <rFont val="Arial"/>
        <family val="2"/>
      </rPr>
      <t>AGUSTIN YAMIL JAIR</t>
    </r>
  </si>
  <si>
    <r>
      <t xml:space="preserve">LLANOS COCA </t>
    </r>
    <r>
      <rPr>
        <b/>
        <sz val="7"/>
        <color rgb="FF000000"/>
        <rFont val="Arial"/>
        <family val="2"/>
      </rPr>
      <t>JOHN</t>
    </r>
  </si>
  <si>
    <r>
      <t xml:space="preserve">MAMANI GARCIA </t>
    </r>
    <r>
      <rPr>
        <b/>
        <sz val="7"/>
        <color rgb="FF000000"/>
        <rFont val="Arial"/>
        <family val="2"/>
      </rPr>
      <t>ALEXIS LIONEL</t>
    </r>
  </si>
  <si>
    <r>
      <t xml:space="preserve">MURILLO MORALES </t>
    </r>
    <r>
      <rPr>
        <b/>
        <sz val="7"/>
        <color rgb="FF000000"/>
        <rFont val="Arial"/>
        <family val="2"/>
      </rPr>
      <t>LIZ JHULIANA</t>
    </r>
  </si>
  <si>
    <r>
      <t xml:space="preserve">PANIAGUA COCA </t>
    </r>
    <r>
      <rPr>
        <b/>
        <sz val="7"/>
        <color rgb="FF000000"/>
        <rFont val="Arial"/>
        <family val="2"/>
      </rPr>
      <t>CAMILA MASIEL</t>
    </r>
  </si>
  <si>
    <r>
      <t xml:space="preserve">PAUCARA  VASQUEZ </t>
    </r>
    <r>
      <rPr>
        <b/>
        <sz val="7"/>
        <color theme="1"/>
        <rFont val="Arial"/>
        <family val="2"/>
      </rPr>
      <t>DIEGO ANTONI</t>
    </r>
  </si>
  <si>
    <r>
      <t xml:space="preserve">PEREZ INOCENTE </t>
    </r>
    <r>
      <rPr>
        <b/>
        <sz val="7"/>
        <color rgb="FF000000"/>
        <rFont val="Arial"/>
        <family val="2"/>
      </rPr>
      <t>SAMUEL SANDER</t>
    </r>
  </si>
  <si>
    <r>
      <rPr>
        <sz val="7"/>
        <color rgb="FF000000"/>
        <rFont val="Arial"/>
        <family val="2"/>
      </rPr>
      <t>ROCHA LOZA</t>
    </r>
    <r>
      <rPr>
        <b/>
        <sz val="7"/>
        <color rgb="FF000000"/>
        <rFont val="Arial"/>
        <family val="2"/>
      </rPr>
      <t xml:space="preserve"> NAYELI</t>
    </r>
  </si>
  <si>
    <r>
      <t xml:space="preserve">RODRIGUEZ APAZA </t>
    </r>
    <r>
      <rPr>
        <b/>
        <sz val="7"/>
        <color rgb="FF000000"/>
        <rFont val="Arial"/>
        <family val="2"/>
      </rPr>
      <t>JASMIN NELANI</t>
    </r>
  </si>
  <si>
    <r>
      <t>SALAZAR CONDO</t>
    </r>
    <r>
      <rPr>
        <b/>
        <sz val="7"/>
        <color rgb="FF000000"/>
        <rFont val="Arial"/>
        <family val="2"/>
      </rPr>
      <t xml:space="preserve"> ABIGAIL</t>
    </r>
  </si>
  <si>
    <r>
      <t xml:space="preserve">SALAZAR JAMIRA </t>
    </r>
    <r>
      <rPr>
        <b/>
        <sz val="7"/>
        <color rgb="FF000000"/>
        <rFont val="Arial"/>
        <family val="2"/>
      </rPr>
      <t>DANIEL</t>
    </r>
  </si>
  <si>
    <r>
      <t xml:space="preserve">SANTOS QUIROZ  </t>
    </r>
    <r>
      <rPr>
        <b/>
        <sz val="7"/>
        <color rgb="FF000000"/>
        <rFont val="Arial"/>
        <family val="2"/>
      </rPr>
      <t>KEYLI ANDIA</t>
    </r>
  </si>
  <si>
    <r>
      <t xml:space="preserve">TAPIA FLORES </t>
    </r>
    <r>
      <rPr>
        <b/>
        <sz val="7"/>
        <color rgb="FF000000"/>
        <rFont val="Arial"/>
        <family val="2"/>
      </rPr>
      <t>ANAHI DIANA</t>
    </r>
  </si>
  <si>
    <r>
      <t xml:space="preserve">TORREZ MAITA </t>
    </r>
    <r>
      <rPr>
        <b/>
        <sz val="7"/>
        <color rgb="FF000000"/>
        <rFont val="Arial"/>
        <family val="2"/>
      </rPr>
      <t>ROYEER EFRAIN</t>
    </r>
  </si>
  <si>
    <r>
      <t xml:space="preserve">VASQUEZ TASTACA </t>
    </r>
    <r>
      <rPr>
        <b/>
        <sz val="7"/>
        <color rgb="FF000000"/>
        <rFont val="Arial"/>
        <family val="2"/>
      </rPr>
      <t>KENIA</t>
    </r>
  </si>
  <si>
    <r>
      <t xml:space="preserve">APAZA COCA </t>
    </r>
    <r>
      <rPr>
        <b/>
        <sz val="7"/>
        <color rgb="FF000000"/>
        <rFont val="Arial"/>
        <family val="2"/>
      </rPr>
      <t>MARIA</t>
    </r>
  </si>
  <si>
    <r>
      <t xml:space="preserve">ARIAS ARGOTE </t>
    </r>
    <r>
      <rPr>
        <b/>
        <sz val="7"/>
        <color rgb="FF000000"/>
        <rFont val="Arial"/>
        <family val="2"/>
      </rPr>
      <t>ARACELY</t>
    </r>
  </si>
  <si>
    <r>
      <t xml:space="preserve">BAENA ZARATE </t>
    </r>
    <r>
      <rPr>
        <b/>
        <sz val="7"/>
        <rFont val="Arial"/>
        <family val="2"/>
      </rPr>
      <t>GAEL MATIAS</t>
    </r>
  </si>
  <si>
    <r>
      <t xml:space="preserve">COCA SENZANO </t>
    </r>
    <r>
      <rPr>
        <b/>
        <sz val="7"/>
        <color rgb="FF000000"/>
        <rFont val="Arial"/>
        <family val="2"/>
      </rPr>
      <t>DAMARIS</t>
    </r>
  </si>
  <si>
    <r>
      <t xml:space="preserve">COLQUE NOLASCO </t>
    </r>
    <r>
      <rPr>
        <b/>
        <sz val="7"/>
        <rFont val="Arial"/>
        <family val="2"/>
      </rPr>
      <t>JHEICO ABNER</t>
    </r>
  </si>
  <si>
    <r>
      <t>COLQUE ROJAS</t>
    </r>
    <r>
      <rPr>
        <b/>
        <sz val="7"/>
        <color rgb="FF000000"/>
        <rFont val="Arial"/>
        <family val="2"/>
      </rPr>
      <t xml:space="preserve"> RAUL</t>
    </r>
  </si>
  <si>
    <r>
      <t xml:space="preserve">CONDORI </t>
    </r>
    <r>
      <rPr>
        <b/>
        <sz val="7"/>
        <color rgb="FF000000"/>
        <rFont val="Arial"/>
        <family val="2"/>
      </rPr>
      <t>HELEN</t>
    </r>
  </si>
  <si>
    <r>
      <t>ESCOBAR MENDIETA</t>
    </r>
    <r>
      <rPr>
        <b/>
        <sz val="7"/>
        <color rgb="FF000000"/>
        <rFont val="Arial"/>
        <family val="2"/>
      </rPr>
      <t xml:space="preserve"> KEVIN</t>
    </r>
  </si>
  <si>
    <r>
      <t>FLORES ZOTO T</t>
    </r>
    <r>
      <rPr>
        <b/>
        <sz val="7"/>
        <color rgb="FF000000"/>
        <rFont val="Arial"/>
        <family val="2"/>
      </rPr>
      <t>ABITA SARAI</t>
    </r>
  </si>
  <si>
    <r>
      <t xml:space="preserve">GUSMAN ROJAS </t>
    </r>
    <r>
      <rPr>
        <b/>
        <sz val="7"/>
        <color rgb="FF000000"/>
        <rFont val="Arial"/>
        <family val="2"/>
      </rPr>
      <t>JUAN LUIS</t>
    </r>
  </si>
  <si>
    <r>
      <t xml:space="preserve">GUTIERREZ DELGADILLO </t>
    </r>
    <r>
      <rPr>
        <b/>
        <sz val="7"/>
        <color rgb="FF000000"/>
        <rFont val="Arial"/>
        <family val="2"/>
      </rPr>
      <t>ERIKA LIZETH</t>
    </r>
  </si>
  <si>
    <r>
      <t>GUZMAN  CORREA</t>
    </r>
    <r>
      <rPr>
        <b/>
        <sz val="7"/>
        <color rgb="FF000000"/>
        <rFont val="Arial"/>
        <family val="2"/>
      </rPr>
      <t xml:space="preserve"> DILANN NAWELD</t>
    </r>
  </si>
  <si>
    <r>
      <t xml:space="preserve">INOCENTE QUIROZ </t>
    </r>
    <r>
      <rPr>
        <b/>
        <sz val="7"/>
        <color rgb="FF000000"/>
        <rFont val="Arial"/>
        <family val="2"/>
      </rPr>
      <t>ALEXANDER</t>
    </r>
  </si>
  <si>
    <r>
      <t xml:space="preserve">JORA AMBROCIO </t>
    </r>
    <r>
      <rPr>
        <b/>
        <sz val="7"/>
        <color rgb="FF000000"/>
        <rFont val="Arial"/>
        <family val="2"/>
      </rPr>
      <t>JHOEL</t>
    </r>
  </si>
  <si>
    <t>NOMINA ENTREGA DE INSUMOS PARA FECHAS CIVICAS</t>
  </si>
  <si>
    <t>mascaras</t>
  </si>
  <si>
    <t>CUOTAS DE  6to</t>
  </si>
  <si>
    <t>x</t>
  </si>
  <si>
    <r>
      <t xml:space="preserve">CHOQUE PINTO </t>
    </r>
    <r>
      <rPr>
        <b/>
        <sz val="9"/>
        <color rgb="FF000000"/>
        <rFont val="Arial"/>
        <family val="2"/>
      </rPr>
      <t>DANIEL</t>
    </r>
  </si>
  <si>
    <t>valor absoluto</t>
  </si>
  <si>
    <t>CARATULAS</t>
  </si>
  <si>
    <t xml:space="preserve">  </t>
  </si>
  <si>
    <t>EXP.DIF. PUBERTAD Y ADOLESCENCIA</t>
  </si>
  <si>
    <t>EXP.SEC. PUBERTAD Y ADOLESCENCIA</t>
  </si>
  <si>
    <t>NOMBRE COMPLETO:</t>
  </si>
  <si>
    <t>Actividades trabajadas en el trimestre 1</t>
  </si>
  <si>
    <t xml:space="preserve"> LENGUAJE</t>
  </si>
  <si>
    <t>CIENCIAS NATURALES</t>
  </si>
  <si>
    <t>CIENCIAS SOCIALES</t>
  </si>
  <si>
    <t>TAREAS</t>
  </si>
  <si>
    <t>PUNTOS GANADOS (PG)</t>
  </si>
  <si>
    <t>TOT</t>
  </si>
  <si>
    <t>N° LISTA:</t>
  </si>
  <si>
    <t>CONTROL   DE   ACTIVIDADES   EVALUADAS                                                     1er TRIMESTRE   DE   6to "A"</t>
  </si>
  <si>
    <r>
      <t xml:space="preserve">TORREZ MAITA </t>
    </r>
    <r>
      <rPr>
        <b/>
        <sz val="8"/>
        <color theme="1"/>
        <rFont val="Calibri"/>
        <family val="2"/>
        <scheme val="minor"/>
      </rPr>
      <t>LEYMAN</t>
    </r>
  </si>
  <si>
    <r>
      <t xml:space="preserve">FUENTES RIVERA </t>
    </r>
    <r>
      <rPr>
        <b/>
        <sz val="8"/>
        <color rgb="FF000000"/>
        <rFont val="Calibri"/>
        <family val="2"/>
        <scheme val="minor"/>
      </rPr>
      <t>ANGEL GABRIEL</t>
    </r>
  </si>
  <si>
    <r>
      <t xml:space="preserve">GARCIA QUISPE </t>
    </r>
    <r>
      <rPr>
        <b/>
        <sz val="8"/>
        <color rgb="FF000000"/>
        <rFont val="Calibri"/>
        <family val="2"/>
        <scheme val="minor"/>
      </rPr>
      <t>ANAHI BELEN</t>
    </r>
  </si>
  <si>
    <r>
      <t xml:space="preserve">GONZALES NICOLAS </t>
    </r>
    <r>
      <rPr>
        <b/>
        <sz val="8"/>
        <color rgb="FF000000"/>
        <rFont val="Calibri"/>
        <family val="2"/>
        <scheme val="minor"/>
      </rPr>
      <t>WILSON MATIAS</t>
    </r>
  </si>
  <si>
    <r>
      <t xml:space="preserve">GUZMAN VIDAURRE </t>
    </r>
    <r>
      <rPr>
        <b/>
        <sz val="8"/>
        <color rgb="FF000000"/>
        <rFont val="Calibri"/>
        <family val="2"/>
        <scheme val="minor"/>
      </rPr>
      <t>MIA JHOSABET</t>
    </r>
  </si>
  <si>
    <r>
      <t xml:space="preserve">INOCENTE CAUPI </t>
    </r>
    <r>
      <rPr>
        <b/>
        <sz val="8"/>
        <color rgb="FF000000"/>
        <rFont val="Calibri"/>
        <family val="2"/>
        <scheme val="minor"/>
      </rPr>
      <t>DOMINIC URIEL</t>
    </r>
  </si>
  <si>
    <r>
      <t xml:space="preserve">JIMENEZ QUISPE </t>
    </r>
    <r>
      <rPr>
        <b/>
        <sz val="8"/>
        <color rgb="FF000000"/>
        <rFont val="Calibri"/>
        <family val="2"/>
        <scheme val="minor"/>
      </rPr>
      <t>ANA BELEN</t>
    </r>
  </si>
  <si>
    <r>
      <t xml:space="preserve">MORALES CATORCENO </t>
    </r>
    <r>
      <rPr>
        <b/>
        <sz val="8"/>
        <color rgb="FF000000"/>
        <rFont val="Calibri"/>
        <family val="2"/>
        <scheme val="minor"/>
      </rPr>
      <t>ROBERT AARON</t>
    </r>
  </si>
  <si>
    <r>
      <t xml:space="preserve">PEREZ VIDAL </t>
    </r>
    <r>
      <rPr>
        <b/>
        <sz val="8"/>
        <color rgb="FF000000"/>
        <rFont val="Calibri"/>
        <family val="2"/>
        <scheme val="minor"/>
      </rPr>
      <t>LUCIANA MARIEL</t>
    </r>
  </si>
  <si>
    <r>
      <t xml:space="preserve">PINTO COLQUE </t>
    </r>
    <r>
      <rPr>
        <b/>
        <sz val="8"/>
        <color rgb="FF000000"/>
        <rFont val="Calibri"/>
        <family val="2"/>
        <scheme val="minor"/>
      </rPr>
      <t>ELIAS</t>
    </r>
  </si>
  <si>
    <r>
      <t xml:space="preserve">ROMERO GONZALES </t>
    </r>
    <r>
      <rPr>
        <b/>
        <sz val="8"/>
        <color rgb="FF000000"/>
        <rFont val="Calibri"/>
        <family val="2"/>
        <scheme val="minor"/>
      </rPr>
      <t>MARIA ESTHER</t>
    </r>
  </si>
  <si>
    <r>
      <t xml:space="preserve">SANTOS FRONTANILLA </t>
    </r>
    <r>
      <rPr>
        <b/>
        <sz val="8"/>
        <color rgb="FF000000"/>
        <rFont val="Calibri"/>
        <family val="2"/>
        <scheme val="minor"/>
      </rPr>
      <t>SHEILA</t>
    </r>
  </si>
  <si>
    <r>
      <t xml:space="preserve">VARGAS CALATAYUD </t>
    </r>
    <r>
      <rPr>
        <b/>
        <sz val="8"/>
        <color rgb="FF000000"/>
        <rFont val="Calibri"/>
        <family val="2"/>
        <scheme val="minor"/>
      </rPr>
      <t>EMILY JAZMIN</t>
    </r>
  </si>
  <si>
    <r>
      <t xml:space="preserve">ZARATE ESCOBAR </t>
    </r>
    <r>
      <rPr>
        <b/>
        <sz val="8"/>
        <color rgb="FF000000"/>
        <rFont val="Calibri"/>
        <family val="2"/>
        <scheme val="minor"/>
      </rPr>
      <t>MADISSON VANINA</t>
    </r>
  </si>
  <si>
    <r>
      <t xml:space="preserve">ZEGARRA CATORCENO </t>
    </r>
    <r>
      <rPr>
        <b/>
        <sz val="8"/>
        <color rgb="FF000000"/>
        <rFont val="Calibri"/>
        <family val="2"/>
        <scheme val="minor"/>
      </rPr>
      <t>BRYAN</t>
    </r>
  </si>
  <si>
    <r>
      <t xml:space="preserve">ANCIETA ROMERO </t>
    </r>
    <r>
      <rPr>
        <b/>
        <sz val="8"/>
        <color rgb="FF000000"/>
        <rFont val="Calibri"/>
        <family val="2"/>
        <scheme val="minor"/>
      </rPr>
      <t>ZOE CRISTAL</t>
    </r>
  </si>
  <si>
    <r>
      <t xml:space="preserve">ANCIETA COCA </t>
    </r>
    <r>
      <rPr>
        <b/>
        <sz val="8"/>
        <color rgb="FF000000"/>
        <rFont val="Calibri"/>
        <family val="2"/>
        <scheme val="minor"/>
      </rPr>
      <t>ZEINETH LIA</t>
    </r>
  </si>
  <si>
    <r>
      <t xml:space="preserve">BRAÑEZ BALCERAS </t>
    </r>
    <r>
      <rPr>
        <b/>
        <sz val="8"/>
        <color rgb="FF000000"/>
        <rFont val="Calibri"/>
        <family val="2"/>
        <scheme val="minor"/>
      </rPr>
      <t>SHEYLA DAE</t>
    </r>
  </si>
  <si>
    <r>
      <t xml:space="preserve">RODRIGUEZ </t>
    </r>
    <r>
      <rPr>
        <b/>
        <sz val="8"/>
        <color rgb="FF000000"/>
        <rFont val="Calibri"/>
        <family val="2"/>
        <scheme val="minor"/>
      </rPr>
      <t>KILLA VALENTINA</t>
    </r>
  </si>
  <si>
    <r>
      <t xml:space="preserve">CASTELO JAILLA </t>
    </r>
    <r>
      <rPr>
        <b/>
        <sz val="8"/>
        <color rgb="FF000000"/>
        <rFont val="Calibri"/>
        <family val="2"/>
        <scheme val="minor"/>
      </rPr>
      <t>ANDERSON</t>
    </r>
  </si>
  <si>
    <r>
      <t xml:space="preserve">CATORCENO SALAZAR </t>
    </r>
    <r>
      <rPr>
        <b/>
        <sz val="8"/>
        <color rgb="FF000000"/>
        <rFont val="Calibri"/>
        <family val="2"/>
        <scheme val="minor"/>
      </rPr>
      <t>SAMANTA</t>
    </r>
  </si>
  <si>
    <r>
      <t xml:space="preserve">CERESO GARCIA </t>
    </r>
    <r>
      <rPr>
        <b/>
        <sz val="8"/>
        <color rgb="FF000000"/>
        <rFont val="Calibri"/>
        <family val="2"/>
        <scheme val="minor"/>
      </rPr>
      <t>ERWIN</t>
    </r>
  </si>
  <si>
    <r>
      <t xml:space="preserve">CESPEDES ORTUÑO </t>
    </r>
    <r>
      <rPr>
        <b/>
        <sz val="8"/>
        <color rgb="FF000000"/>
        <rFont val="Calibri"/>
        <family val="2"/>
        <scheme val="minor"/>
      </rPr>
      <t>EITHAN ALEX</t>
    </r>
  </si>
  <si>
    <r>
      <t xml:space="preserve">CHAVEZ COLQUE </t>
    </r>
    <r>
      <rPr>
        <b/>
        <sz val="8"/>
        <color rgb="FF000000"/>
        <rFont val="Calibri"/>
        <family val="2"/>
        <scheme val="minor"/>
      </rPr>
      <t>ADRIEL</t>
    </r>
  </si>
  <si>
    <r>
      <t xml:space="preserve">CHOQUE ORTUÑO </t>
    </r>
    <r>
      <rPr>
        <b/>
        <sz val="8"/>
        <color theme="1"/>
        <rFont val="Calibri"/>
        <family val="2"/>
        <scheme val="minor"/>
      </rPr>
      <t>MATIAS YAIR</t>
    </r>
  </si>
  <si>
    <r>
      <t xml:space="preserve">COCA SENZANO </t>
    </r>
    <r>
      <rPr>
        <b/>
        <sz val="8"/>
        <color rgb="FF000000"/>
        <rFont val="Calibri"/>
        <family val="2"/>
        <scheme val="minor"/>
      </rPr>
      <t>GAEL</t>
    </r>
  </si>
  <si>
    <r>
      <t xml:space="preserve">COLQUE ARIAS </t>
    </r>
    <r>
      <rPr>
        <b/>
        <sz val="8"/>
        <color rgb="FF000000"/>
        <rFont val="Calibri"/>
        <family val="2"/>
        <scheme val="minor"/>
      </rPr>
      <t>DETZANI</t>
    </r>
  </si>
  <si>
    <r>
      <t xml:space="preserve">COLQUE ROCHA </t>
    </r>
    <r>
      <rPr>
        <b/>
        <sz val="8"/>
        <color rgb="FF000000"/>
        <rFont val="Calibri"/>
        <family val="2"/>
        <scheme val="minor"/>
      </rPr>
      <t>JHEYCO</t>
    </r>
  </si>
  <si>
    <r>
      <t xml:space="preserve">CONDORI QUIROZ </t>
    </r>
    <r>
      <rPr>
        <b/>
        <sz val="8"/>
        <color rgb="FF000000"/>
        <rFont val="Calibri"/>
        <family val="2"/>
        <scheme val="minor"/>
      </rPr>
      <t>WILLIAM</t>
    </r>
  </si>
  <si>
    <r>
      <t xml:space="preserve">CORIA CRUZ </t>
    </r>
    <r>
      <rPr>
        <b/>
        <sz val="8"/>
        <color rgb="FF000000"/>
        <rFont val="Calibri"/>
        <family val="2"/>
        <scheme val="minor"/>
      </rPr>
      <t>JHAIR BRYAM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</si>
</sst>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_-&quot;$&quot;* #,##0.0_-;\-&quot;$&quot;* #,##0.0_-;_-&quot;$&quot;* &quot;-&quot;??_-;_-@_-"/>
  </numFmts>
  <fonts count="10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name val="Calibri"/>
      <family val="2"/>
      <scheme val="minor"/>
    </font>
    <font>
      <sz val="8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6"/>
      <color rgb="FF000000"/>
      <name val="Arial"/>
      <family val="2"/>
    </font>
    <font>
      <b/>
      <sz val="6"/>
      <color rgb="FF000000"/>
      <name val="Arial"/>
      <family val="2"/>
    </font>
    <font>
      <sz val="6"/>
      <color theme="1"/>
      <name val="Arial"/>
      <family val="2"/>
    </font>
    <font>
      <b/>
      <sz val="6"/>
      <color theme="1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theme="1"/>
      <name val="Arial"/>
      <family val="2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Arial"/>
      <family val="2"/>
    </font>
    <font>
      <sz val="7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rgb="FF000000"/>
      <name val="Arial"/>
      <family val="2"/>
    </font>
    <font>
      <b/>
      <sz val="8"/>
      <name val="Arial"/>
      <family val="2"/>
    </font>
    <font>
      <b/>
      <sz val="18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name val="Arial"/>
      <family val="2"/>
    </font>
    <font>
      <sz val="6"/>
      <color rgb="FF000000"/>
      <name val="Calibri"/>
      <family val="2"/>
      <scheme val="minor"/>
    </font>
    <font>
      <b/>
      <sz val="6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color rgb="FFFF0000"/>
      <name val="Arial"/>
      <family val="2"/>
    </font>
    <font>
      <b/>
      <sz val="6"/>
      <color rgb="FFFF0000"/>
      <name val="Arial"/>
      <family val="2"/>
    </font>
    <font>
      <sz val="16"/>
      <color rgb="FF00B050"/>
      <name val="Calibri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4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color theme="4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12"/>
      <color rgb="FF000000"/>
      <name val="Arial"/>
      <family val="2"/>
    </font>
    <font>
      <sz val="9"/>
      <color theme="4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2"/>
      <color rgb="FF0070C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7"/>
      <color rgb="FF000000"/>
      <name val="Arial"/>
      <family val="2"/>
    </font>
    <font>
      <b/>
      <sz val="14"/>
      <color theme="4"/>
      <name val="Calibri"/>
      <family val="2"/>
      <scheme val="minor"/>
    </font>
    <font>
      <sz val="2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7"/>
      <color rgb="FFFF0000"/>
      <name val="Calibri"/>
      <family val="2"/>
      <scheme val="minor"/>
    </font>
    <font>
      <b/>
      <sz val="7"/>
      <color rgb="FFFF0000"/>
      <name val="Calibri"/>
      <family val="2"/>
      <scheme val="minor"/>
    </font>
    <font>
      <b/>
      <sz val="7"/>
      <color rgb="FF00000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8"/>
      <name val="Calibri"/>
      <family val="2"/>
      <scheme val="minor"/>
    </font>
    <font>
      <sz val="14"/>
      <name val="Arial"/>
      <family val="2"/>
    </font>
    <font>
      <sz val="14"/>
      <name val="Cooper Black"/>
      <family val="1"/>
    </font>
    <font>
      <sz val="8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0D21E"/>
        <bgColor indexed="64"/>
      </patternFill>
    </fill>
    <fill>
      <patternFill patternType="solid">
        <fgColor rgb="FFC42CB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D749B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8FA26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89" fillId="0" borderId="0" applyFont="0" applyFill="0" applyBorder="0" applyAlignment="0" applyProtection="0"/>
  </cellStyleXfs>
  <cellXfs count="91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19" fillId="0" borderId="3" xfId="0" applyFont="1" applyBorder="1" applyAlignment="1">
      <alignment horizontal="center" vertical="center" textRotation="90" wrapText="1"/>
    </xf>
    <xf numFmtId="0" fontId="0" fillId="0" borderId="3" xfId="0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1" fontId="21" fillId="4" borderId="3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textRotation="90"/>
    </xf>
    <xf numFmtId="0" fontId="4" fillId="0" borderId="3" xfId="0" applyFont="1" applyBorder="1" applyAlignment="1">
      <alignment vertical="center" textRotation="90"/>
    </xf>
    <xf numFmtId="0" fontId="4" fillId="0" borderId="3" xfId="0" applyFont="1" applyBorder="1" applyAlignment="1">
      <alignment horizontal="left" vertical="center" textRotation="90"/>
    </xf>
    <xf numFmtId="0" fontId="15" fillId="0" borderId="1" xfId="0" applyFont="1" applyBorder="1" applyAlignment="1">
      <alignment horizontal="center" vertical="center"/>
    </xf>
    <xf numFmtId="0" fontId="22" fillId="4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vertical="center" textRotation="90"/>
    </xf>
    <xf numFmtId="0" fontId="0" fillId="0" borderId="9" xfId="0" applyBorder="1"/>
    <xf numFmtId="0" fontId="0" fillId="0" borderId="1" xfId="0" applyBorder="1"/>
    <xf numFmtId="0" fontId="4" fillId="0" borderId="13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/>
    </xf>
    <xf numFmtId="0" fontId="0" fillId="0" borderId="1" xfId="0" applyBorder="1" applyAlignment="1">
      <alignment vertical="center" textRotation="90"/>
    </xf>
    <xf numFmtId="0" fontId="26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9" fillId="0" borderId="0" xfId="0" applyFont="1" applyBorder="1"/>
    <xf numFmtId="0" fontId="19" fillId="0" borderId="2" xfId="0" applyFont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30" fillId="3" borderId="9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3" borderId="10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31" fillId="3" borderId="10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25" xfId="0" applyFont="1" applyFill="1" applyBorder="1" applyAlignment="1">
      <alignment horizontal="center" vertical="center"/>
    </xf>
    <xf numFmtId="0" fontId="33" fillId="0" borderId="23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33" fillId="3" borderId="23" xfId="0" applyNumberFormat="1" applyFont="1" applyFill="1" applyBorder="1" applyAlignment="1">
      <alignment horizontal="center" vertical="center"/>
    </xf>
    <xf numFmtId="0" fontId="33" fillId="0" borderId="0" xfId="0" applyFont="1"/>
    <xf numFmtId="0" fontId="32" fillId="0" borderId="3" xfId="0" applyFont="1" applyBorder="1" applyAlignment="1">
      <alignment horizontal="center" vertical="center" textRotation="90" wrapText="1"/>
    </xf>
    <xf numFmtId="0" fontId="6" fillId="0" borderId="3" xfId="0" applyFont="1" applyBorder="1" applyAlignment="1">
      <alignment horizontal="center" vertical="center" textRotation="90" wrapText="1"/>
    </xf>
    <xf numFmtId="0" fontId="19" fillId="0" borderId="23" xfId="0" applyFont="1" applyBorder="1" applyAlignment="1">
      <alignment horizontal="center" vertical="center" textRotation="90" wrapText="1"/>
    </xf>
    <xf numFmtId="0" fontId="30" fillId="3" borderId="2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0" fontId="0" fillId="0" borderId="3" xfId="0" applyBorder="1"/>
    <xf numFmtId="0" fontId="19" fillId="0" borderId="3" xfId="0" applyFont="1" applyBorder="1" applyAlignment="1">
      <alignment vertical="center" textRotation="90"/>
    </xf>
    <xf numFmtId="0" fontId="8" fillId="0" borderId="0" xfId="0" applyFont="1" applyAlignment="1">
      <alignment horizontal="center" vertical="center" textRotation="90" wrapText="1"/>
    </xf>
    <xf numFmtId="0" fontId="0" fillId="0" borderId="23" xfId="0" applyBorder="1"/>
    <xf numFmtId="0" fontId="19" fillId="0" borderId="23" xfId="0" applyFont="1" applyBorder="1" applyAlignment="1">
      <alignment vertical="center" textRotation="90"/>
    </xf>
    <xf numFmtId="0" fontId="0" fillId="0" borderId="20" xfId="0" applyBorder="1"/>
    <xf numFmtId="0" fontId="0" fillId="0" borderId="2" xfId="0" applyBorder="1"/>
    <xf numFmtId="0" fontId="33" fillId="0" borderId="3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14" fontId="33" fillId="0" borderId="1" xfId="0" applyNumberFormat="1" applyFont="1" applyBorder="1" applyAlignment="1">
      <alignment horizontal="center" vertical="center" textRotation="90"/>
    </xf>
    <xf numFmtId="0" fontId="33" fillId="0" borderId="1" xfId="0" applyFont="1" applyBorder="1"/>
    <xf numFmtId="0" fontId="40" fillId="0" borderId="0" xfId="0" applyFont="1"/>
    <xf numFmtId="0" fontId="38" fillId="0" borderId="19" xfId="0" applyFont="1" applyBorder="1" applyAlignment="1">
      <alignment horizontal="center" vertical="center"/>
    </xf>
    <xf numFmtId="14" fontId="33" fillId="3" borderId="1" xfId="0" applyNumberFormat="1" applyFont="1" applyFill="1" applyBorder="1" applyAlignment="1">
      <alignment horizontal="center" vertical="center" textRotation="90"/>
    </xf>
    <xf numFmtId="0" fontId="38" fillId="0" borderId="25" xfId="0" applyFont="1" applyBorder="1" applyAlignment="1">
      <alignment horizontal="center" vertical="center"/>
    </xf>
    <xf numFmtId="0" fontId="33" fillId="0" borderId="19" xfId="0" applyFont="1" applyBorder="1"/>
    <xf numFmtId="0" fontId="5" fillId="3" borderId="1" xfId="0" applyFont="1" applyFill="1" applyBorder="1" applyAlignment="1">
      <alignment horizontal="center" vertical="center" textRotation="90" wrapText="1"/>
    </xf>
    <xf numFmtId="0" fontId="41" fillId="3" borderId="0" xfId="0" applyFont="1" applyFill="1"/>
    <xf numFmtId="0" fontId="42" fillId="3" borderId="1" xfId="0" applyFont="1" applyFill="1" applyBorder="1" applyAlignment="1">
      <alignment horizontal="center" vertical="center"/>
    </xf>
    <xf numFmtId="0" fontId="42" fillId="3" borderId="19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 textRotation="90"/>
    </xf>
    <xf numFmtId="14" fontId="4" fillId="0" borderId="1" xfId="0" applyNumberFormat="1" applyFont="1" applyBorder="1" applyAlignment="1">
      <alignment horizontal="center" vertical="center" textRotation="90"/>
    </xf>
    <xf numFmtId="14" fontId="45" fillId="3" borderId="1" xfId="0" applyNumberFormat="1" applyFont="1" applyFill="1" applyBorder="1" applyAlignment="1">
      <alignment horizontal="center" vertical="center" textRotation="90"/>
    </xf>
    <xf numFmtId="14" fontId="45" fillId="0" borderId="1" xfId="0" applyNumberFormat="1" applyFont="1" applyBorder="1" applyAlignment="1">
      <alignment horizontal="center" vertical="center" textRotation="90"/>
    </xf>
    <xf numFmtId="14" fontId="45" fillId="3" borderId="10" xfId="0" applyNumberFormat="1" applyFont="1" applyFill="1" applyBorder="1" applyAlignment="1">
      <alignment horizontal="center" vertical="center" textRotation="90"/>
    </xf>
    <xf numFmtId="0" fontId="46" fillId="3" borderId="1" xfId="0" applyFont="1" applyFill="1" applyBorder="1" applyAlignment="1">
      <alignment horizontal="center" vertical="center" textRotation="90"/>
    </xf>
    <xf numFmtId="14" fontId="46" fillId="3" borderId="1" xfId="0" applyNumberFormat="1" applyFont="1" applyFill="1" applyBorder="1" applyAlignment="1">
      <alignment horizontal="center" vertical="center" textRotation="90"/>
    </xf>
    <xf numFmtId="0" fontId="33" fillId="3" borderId="1" xfId="0" applyFont="1" applyFill="1" applyBorder="1"/>
    <xf numFmtId="14" fontId="4" fillId="3" borderId="1" xfId="0" applyNumberFormat="1" applyFont="1" applyFill="1" applyBorder="1" applyAlignment="1">
      <alignment horizontal="center" vertical="center" textRotation="90"/>
    </xf>
    <xf numFmtId="0" fontId="38" fillId="3" borderId="10" xfId="0" applyFont="1" applyFill="1" applyBorder="1" applyAlignment="1">
      <alignment horizontal="center" vertical="center" textRotation="90" wrapText="1"/>
    </xf>
    <xf numFmtId="0" fontId="38" fillId="3" borderId="1" xfId="0" applyFont="1" applyFill="1" applyBorder="1" applyAlignment="1">
      <alignment horizontal="center" vertical="center" textRotation="90" wrapText="1"/>
    </xf>
    <xf numFmtId="0" fontId="38" fillId="0" borderId="1" xfId="0" applyFont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 textRotation="90" wrapText="1"/>
    </xf>
    <xf numFmtId="0" fontId="48" fillId="0" borderId="1" xfId="0" applyFont="1" applyBorder="1"/>
    <xf numFmtId="0" fontId="0" fillId="3" borderId="1" xfId="0" applyFill="1" applyBorder="1" applyAlignment="1">
      <alignment vertical="center"/>
    </xf>
    <xf numFmtId="0" fontId="16" fillId="0" borderId="19" xfId="0" applyFont="1" applyBorder="1" applyAlignment="1">
      <alignment horizontal="center" vertical="center"/>
    </xf>
    <xf numFmtId="0" fontId="30" fillId="3" borderId="29" xfId="0" applyFont="1" applyFill="1" applyBorder="1" applyAlignment="1">
      <alignment horizontal="center" vertical="center"/>
    </xf>
    <xf numFmtId="0" fontId="20" fillId="3" borderId="30" xfId="0" applyFont="1" applyFill="1" applyBorder="1" applyAlignment="1">
      <alignment horizontal="center" vertical="center"/>
    </xf>
    <xf numFmtId="0" fontId="31" fillId="3" borderId="30" xfId="0" applyFont="1" applyFill="1" applyBorder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0" fillId="0" borderId="30" xfId="0" applyBorder="1"/>
    <xf numFmtId="0" fontId="0" fillId="0" borderId="21" xfId="0" applyBorder="1"/>
    <xf numFmtId="0" fontId="33" fillId="0" borderId="30" xfId="0" applyFont="1" applyBorder="1"/>
    <xf numFmtId="0" fontId="20" fillId="0" borderId="1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39" fillId="4" borderId="1" xfId="0" applyFont="1" applyFill="1" applyBorder="1" applyAlignment="1">
      <alignment vertical="center" wrapText="1"/>
    </xf>
    <xf numFmtId="0" fontId="50" fillId="0" borderId="1" xfId="0" applyFont="1" applyBorder="1" applyAlignment="1">
      <alignment horizontal="left" vertical="center" wrapText="1"/>
    </xf>
    <xf numFmtId="0" fontId="52" fillId="0" borderId="1" xfId="0" applyFont="1" applyBorder="1" applyAlignment="1">
      <alignment horizontal="left" vertical="center" wrapText="1"/>
    </xf>
    <xf numFmtId="0" fontId="49" fillId="4" borderId="1" xfId="0" applyFont="1" applyFill="1" applyBorder="1" applyAlignment="1">
      <alignment vertical="center" wrapText="1"/>
    </xf>
    <xf numFmtId="0" fontId="39" fillId="4" borderId="30" xfId="0" applyFont="1" applyFill="1" applyBorder="1" applyAlignment="1">
      <alignment vertical="center" wrapText="1"/>
    </xf>
    <xf numFmtId="0" fontId="54" fillId="3" borderId="1" xfId="0" applyFont="1" applyFill="1" applyBorder="1" applyAlignment="1">
      <alignment horizontal="center"/>
    </xf>
    <xf numFmtId="0" fontId="54" fillId="3" borderId="1" xfId="0" applyFont="1" applyFill="1" applyBorder="1" applyAlignment="1">
      <alignment vertical="center"/>
    </xf>
    <xf numFmtId="0" fontId="16" fillId="3" borderId="1" xfId="0" applyFont="1" applyFill="1" applyBorder="1"/>
    <xf numFmtId="0" fontId="17" fillId="3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0" fillId="3" borderId="0" xfId="0" applyFill="1"/>
    <xf numFmtId="0" fontId="37" fillId="0" borderId="2" xfId="0" applyFont="1" applyBorder="1" applyAlignment="1">
      <alignment vertical="center"/>
    </xf>
    <xf numFmtId="0" fontId="56" fillId="4" borderId="1" xfId="0" applyFont="1" applyFill="1" applyBorder="1" applyAlignment="1">
      <alignment vertical="center" wrapText="1"/>
    </xf>
    <xf numFmtId="0" fontId="8" fillId="4" borderId="19" xfId="0" applyFont="1" applyFill="1" applyBorder="1" applyAlignment="1">
      <alignment vertical="center" wrapText="1"/>
    </xf>
    <xf numFmtId="0" fontId="29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4" fillId="3" borderId="1" xfId="0" applyFont="1" applyFill="1" applyBorder="1" applyAlignment="1">
      <alignment horizontal="center" vertical="center"/>
    </xf>
    <xf numFmtId="0" fontId="35" fillId="3" borderId="2" xfId="0" applyFont="1" applyFill="1" applyBorder="1" applyAlignment="1">
      <alignment horizontal="center" vertical="center"/>
    </xf>
    <xf numFmtId="0" fontId="17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wrapText="1"/>
    </xf>
    <xf numFmtId="0" fontId="29" fillId="0" borderId="1" xfId="0" applyFont="1" applyBorder="1" applyAlignment="1">
      <alignment vertical="center"/>
    </xf>
    <xf numFmtId="0" fontId="20" fillId="0" borderId="3" xfId="0" applyFont="1" applyBorder="1" applyAlignment="1">
      <alignment horizontal="center" vertical="center" textRotation="90" wrapText="1"/>
    </xf>
    <xf numFmtId="0" fontId="0" fillId="0" borderId="1" xfId="0" applyFill="1" applyBorder="1"/>
    <xf numFmtId="0" fontId="55" fillId="3" borderId="1" xfId="0" applyFont="1" applyFill="1" applyBorder="1" applyAlignment="1">
      <alignment horizontal="center" vertical="center" textRotation="90" wrapText="1"/>
    </xf>
    <xf numFmtId="0" fontId="59" fillId="3" borderId="1" xfId="0" applyFont="1" applyFill="1" applyBorder="1" applyAlignment="1">
      <alignment horizontal="center" vertical="center" textRotation="90" wrapText="1"/>
    </xf>
    <xf numFmtId="0" fontId="30" fillId="5" borderId="1" xfId="0" applyFont="1" applyFill="1" applyBorder="1" applyAlignment="1">
      <alignment horizontal="center" vertical="center" textRotation="90" wrapText="1"/>
    </xf>
    <xf numFmtId="0" fontId="55" fillId="11" borderId="1" xfId="0" applyFont="1" applyFill="1" applyBorder="1" applyAlignment="1">
      <alignment horizontal="center" vertical="center" textRotation="90" wrapText="1"/>
    </xf>
    <xf numFmtId="0" fontId="16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textRotation="90" wrapText="1"/>
    </xf>
    <xf numFmtId="0" fontId="20" fillId="0" borderId="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22" fillId="3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 textRotation="90" wrapText="1"/>
    </xf>
    <xf numFmtId="0" fontId="61" fillId="3" borderId="1" xfId="0" applyFont="1" applyFill="1" applyBorder="1" applyAlignment="1">
      <alignment horizontal="center" vertical="center" textRotation="90" wrapText="1"/>
    </xf>
    <xf numFmtId="0" fontId="54" fillId="3" borderId="1" xfId="0" applyFont="1" applyFill="1" applyBorder="1" applyAlignment="1">
      <alignment horizontal="center" vertical="center" textRotation="90" wrapText="1"/>
    </xf>
    <xf numFmtId="14" fontId="60" fillId="3" borderId="1" xfId="0" applyNumberFormat="1" applyFont="1" applyFill="1" applyBorder="1" applyAlignment="1">
      <alignment horizontal="center" vertical="center" textRotation="90"/>
    </xf>
    <xf numFmtId="0" fontId="60" fillId="3" borderId="1" xfId="0" applyFont="1" applyFill="1" applyBorder="1" applyAlignment="1">
      <alignment horizontal="center" vertical="center" textRotation="90" wrapText="1"/>
    </xf>
    <xf numFmtId="0" fontId="38" fillId="3" borderId="9" xfId="0" applyFont="1" applyFill="1" applyBorder="1" applyAlignment="1">
      <alignment horizontal="center" vertical="center"/>
    </xf>
    <xf numFmtId="0" fontId="55" fillId="3" borderId="19" xfId="0" applyFont="1" applyFill="1" applyBorder="1" applyAlignment="1">
      <alignment horizontal="center" vertical="center"/>
    </xf>
    <xf numFmtId="0" fontId="62" fillId="3" borderId="9" xfId="0" applyFont="1" applyFill="1" applyBorder="1" applyAlignment="1">
      <alignment horizontal="center" vertical="center"/>
    </xf>
    <xf numFmtId="0" fontId="38" fillId="3" borderId="8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0" fontId="62" fillId="3" borderId="1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vertical="center"/>
    </xf>
    <xf numFmtId="0" fontId="55" fillId="3" borderId="1" xfId="0" applyFont="1" applyFill="1" applyBorder="1" applyAlignment="1">
      <alignment horizontal="center" vertical="center"/>
    </xf>
    <xf numFmtId="0" fontId="38" fillId="3" borderId="10" xfId="0" applyFont="1" applyFill="1" applyBorder="1" applyAlignment="1">
      <alignment horizontal="center" vertical="center"/>
    </xf>
    <xf numFmtId="0" fontId="62" fillId="3" borderId="8" xfId="0" applyFont="1" applyFill="1" applyBorder="1" applyAlignment="1">
      <alignment horizontal="center" vertical="center"/>
    </xf>
    <xf numFmtId="0" fontId="38" fillId="3" borderId="8" xfId="0" applyFont="1" applyFill="1" applyBorder="1" applyAlignment="1">
      <alignment horizontal="center" vertical="center" wrapText="1"/>
    </xf>
    <xf numFmtId="0" fontId="38" fillId="3" borderId="19" xfId="0" applyFont="1" applyFill="1" applyBorder="1" applyAlignment="1">
      <alignment horizontal="center" vertical="center"/>
    </xf>
    <xf numFmtId="0" fontId="38" fillId="3" borderId="10" xfId="0" applyFont="1" applyFill="1" applyBorder="1" applyAlignment="1">
      <alignment horizontal="center" vertical="center" wrapText="1"/>
    </xf>
    <xf numFmtId="0" fontId="62" fillId="3" borderId="2" xfId="0" applyFont="1" applyFill="1" applyBorder="1" applyAlignment="1">
      <alignment horizontal="center" vertical="center"/>
    </xf>
    <xf numFmtId="0" fontId="38" fillId="3" borderId="2" xfId="0" applyFont="1" applyFill="1" applyBorder="1" applyAlignment="1">
      <alignment horizontal="center" vertical="center"/>
    </xf>
    <xf numFmtId="0" fontId="62" fillId="11" borderId="1" xfId="0" applyFont="1" applyFill="1" applyBorder="1" applyAlignment="1">
      <alignment horizontal="center" vertical="center"/>
    </xf>
    <xf numFmtId="0" fontId="38" fillId="3" borderId="11" xfId="0" applyFont="1" applyFill="1" applyBorder="1" applyAlignment="1">
      <alignment horizontal="center" vertical="center" wrapText="1"/>
    </xf>
    <xf numFmtId="0" fontId="38" fillId="3" borderId="12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0" fontId="62" fillId="3" borderId="8" xfId="0" applyFont="1" applyFill="1" applyBorder="1" applyAlignment="1">
      <alignment horizontal="center" vertical="center" wrapText="1"/>
    </xf>
    <xf numFmtId="0" fontId="62" fillId="3" borderId="1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3" fillId="3" borderId="1" xfId="0" applyFont="1" applyFill="1" applyBorder="1" applyAlignment="1">
      <alignment horizontal="center" vertical="center"/>
    </xf>
    <xf numFmtId="0" fontId="62" fillId="3" borderId="12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0" fillId="3" borderId="0" xfId="0" applyFill="1" applyBorder="1"/>
    <xf numFmtId="0" fontId="62" fillId="3" borderId="10" xfId="0" applyFont="1" applyFill="1" applyBorder="1" applyAlignment="1">
      <alignment horizontal="center" vertical="center" wrapText="1"/>
    </xf>
    <xf numFmtId="0" fontId="47" fillId="3" borderId="1" xfId="0" applyFont="1" applyFill="1" applyBorder="1" applyAlignment="1">
      <alignment horizontal="center" vertical="center" textRotation="90" wrapText="1"/>
    </xf>
    <xf numFmtId="0" fontId="69" fillId="0" borderId="0" xfId="0" applyFont="1"/>
    <xf numFmtId="0" fontId="62" fillId="3" borderId="1" xfId="0" applyFont="1" applyFill="1" applyBorder="1" applyAlignment="1">
      <alignment vertical="center"/>
    </xf>
    <xf numFmtId="0" fontId="62" fillId="5" borderId="9" xfId="0" applyFont="1" applyFill="1" applyBorder="1" applyAlignment="1">
      <alignment horizontal="center" vertical="center"/>
    </xf>
    <xf numFmtId="0" fontId="38" fillId="5" borderId="9" xfId="0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/>
    </xf>
    <xf numFmtId="0" fontId="62" fillId="5" borderId="1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5" fillId="3" borderId="1" xfId="0" applyFont="1" applyFill="1" applyBorder="1" applyAlignment="1">
      <alignment horizontal="center" vertical="center" textRotation="90" wrapText="1"/>
    </xf>
    <xf numFmtId="0" fontId="29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1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0" fillId="0" borderId="35" xfId="0" applyBorder="1"/>
    <xf numFmtId="0" fontId="0" fillId="0" borderId="37" xfId="0" applyBorder="1"/>
    <xf numFmtId="0" fontId="0" fillId="0" borderId="40" xfId="0" applyBorder="1"/>
    <xf numFmtId="0" fontId="0" fillId="0" borderId="41" xfId="0" applyBorder="1"/>
    <xf numFmtId="0" fontId="0" fillId="0" borderId="10" xfId="0" applyBorder="1"/>
    <xf numFmtId="0" fontId="0" fillId="0" borderId="46" xfId="0" applyBorder="1"/>
    <xf numFmtId="0" fontId="0" fillId="0" borderId="47" xfId="0" applyBorder="1"/>
    <xf numFmtId="0" fontId="1" fillId="0" borderId="10" xfId="0" applyFont="1" applyBorder="1"/>
    <xf numFmtId="0" fontId="1" fillId="0" borderId="47" xfId="0" applyFont="1" applyBorder="1"/>
    <xf numFmtId="0" fontId="0" fillId="0" borderId="46" xfId="0" applyFont="1" applyBorder="1"/>
    <xf numFmtId="0" fontId="0" fillId="0" borderId="10" xfId="0" applyFont="1" applyBorder="1"/>
    <xf numFmtId="0" fontId="0" fillId="0" borderId="8" xfId="0" applyBorder="1"/>
    <xf numFmtId="0" fontId="0" fillId="0" borderId="42" xfId="0" applyBorder="1"/>
    <xf numFmtId="0" fontId="1" fillId="3" borderId="10" xfId="0" applyFont="1" applyFill="1" applyBorder="1" applyAlignment="1">
      <alignment horizontal="center" vertical="center" wrapText="1"/>
    </xf>
    <xf numFmtId="0" fontId="0" fillId="3" borderId="10" xfId="0" applyFill="1" applyBorder="1"/>
    <xf numFmtId="0" fontId="0" fillId="3" borderId="29" xfId="0" applyFill="1" applyBorder="1"/>
    <xf numFmtId="0" fontId="0" fillId="3" borderId="46" xfId="0" applyFill="1" applyBorder="1"/>
    <xf numFmtId="0" fontId="0" fillId="3" borderId="47" xfId="0" applyFill="1" applyBorder="1"/>
    <xf numFmtId="0" fontId="0" fillId="3" borderId="41" xfId="0" applyFill="1" applyBorder="1"/>
    <xf numFmtId="0" fontId="1" fillId="0" borderId="0" xfId="0" applyFont="1" applyBorder="1" applyAlignment="1">
      <alignment horizontal="center" vertical="center"/>
    </xf>
    <xf numFmtId="0" fontId="0" fillId="0" borderId="0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 vertical="center" wrapText="1"/>
    </xf>
    <xf numFmtId="0" fontId="0" fillId="0" borderId="34" xfId="0" applyBorder="1"/>
    <xf numFmtId="0" fontId="37" fillId="0" borderId="0" xfId="0" applyFont="1" applyBorder="1" applyAlignment="1"/>
    <xf numFmtId="0" fontId="1" fillId="3" borderId="35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0" fillId="0" borderId="45" xfId="0" applyBorder="1"/>
    <xf numFmtId="0" fontId="0" fillId="3" borderId="46" xfId="0" applyFont="1" applyFill="1" applyBorder="1" applyAlignment="1">
      <alignment horizontal="left" vertical="center" wrapText="1"/>
    </xf>
    <xf numFmtId="0" fontId="0" fillId="3" borderId="10" xfId="0" applyFont="1" applyFill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 wrapText="1"/>
    </xf>
    <xf numFmtId="0" fontId="0" fillId="0" borderId="50" xfId="0" applyBorder="1" applyAlignment="1">
      <alignment wrapText="1"/>
    </xf>
    <xf numFmtId="0" fontId="0" fillId="0" borderId="31" xfId="0" applyBorder="1"/>
    <xf numFmtId="0" fontId="0" fillId="0" borderId="52" xfId="0" applyBorder="1"/>
    <xf numFmtId="0" fontId="1" fillId="0" borderId="46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16" fillId="0" borderId="1" xfId="0" applyFont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3" borderId="41" xfId="0" applyFont="1" applyFill="1" applyBorder="1" applyAlignment="1">
      <alignment horizontal="left" vertical="center"/>
    </xf>
    <xf numFmtId="0" fontId="0" fillId="3" borderId="30" xfId="0" applyFont="1" applyFill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0" borderId="42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30" xfId="0" applyFont="1" applyBorder="1" applyAlignment="1">
      <alignment horizontal="left" vertical="center"/>
    </xf>
    <xf numFmtId="0" fontId="70" fillId="3" borderId="8" xfId="0" applyFont="1" applyFill="1" applyBorder="1" applyAlignment="1">
      <alignment horizontal="center" vertical="center"/>
    </xf>
    <xf numFmtId="0" fontId="61" fillId="3" borderId="9" xfId="0" applyFont="1" applyFill="1" applyBorder="1" applyAlignment="1">
      <alignment horizontal="center" vertical="center"/>
    </xf>
    <xf numFmtId="0" fontId="70" fillId="3" borderId="9" xfId="0" applyFont="1" applyFill="1" applyBorder="1" applyAlignment="1">
      <alignment horizontal="center" vertical="center"/>
    </xf>
    <xf numFmtId="0" fontId="61" fillId="3" borderId="9" xfId="0" applyFont="1" applyFill="1" applyBorder="1" applyAlignment="1">
      <alignment horizontal="center"/>
    </xf>
    <xf numFmtId="0" fontId="61" fillId="3" borderId="8" xfId="0" applyFont="1" applyFill="1" applyBorder="1" applyAlignment="1">
      <alignment horizontal="center" vertical="center"/>
    </xf>
    <xf numFmtId="0" fontId="61" fillId="3" borderId="1" xfId="0" applyFont="1" applyFill="1" applyBorder="1" applyAlignment="1">
      <alignment horizontal="center" vertical="center"/>
    </xf>
    <xf numFmtId="0" fontId="70" fillId="3" borderId="1" xfId="0" applyFont="1" applyFill="1" applyBorder="1" applyAlignment="1">
      <alignment horizontal="center" vertical="center"/>
    </xf>
    <xf numFmtId="0" fontId="61" fillId="3" borderId="2" xfId="0" applyFont="1" applyFill="1" applyBorder="1" applyAlignment="1">
      <alignment horizontal="center" vertical="center"/>
    </xf>
    <xf numFmtId="0" fontId="61" fillId="3" borderId="1" xfId="0" applyFont="1" applyFill="1" applyBorder="1" applyAlignment="1">
      <alignment horizontal="center"/>
    </xf>
    <xf numFmtId="0" fontId="61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61" fillId="3" borderId="10" xfId="0" applyFont="1" applyFill="1" applyBorder="1" applyAlignment="1">
      <alignment horizontal="center" vertical="center"/>
    </xf>
    <xf numFmtId="0" fontId="61" fillId="3" borderId="8" xfId="0" applyFont="1" applyFill="1" applyBorder="1" applyAlignment="1">
      <alignment horizontal="center" vertical="center" wrapText="1"/>
    </xf>
    <xf numFmtId="0" fontId="61" fillId="3" borderId="19" xfId="0" applyFont="1" applyFill="1" applyBorder="1" applyAlignment="1">
      <alignment horizontal="center" vertical="center"/>
    </xf>
    <xf numFmtId="0" fontId="9" fillId="3" borderId="9" xfId="0" applyFont="1" applyFill="1" applyBorder="1"/>
    <xf numFmtId="0" fontId="61" fillId="3" borderId="10" xfId="0" applyFont="1" applyFill="1" applyBorder="1" applyAlignment="1">
      <alignment horizontal="center" vertical="center" wrapText="1"/>
    </xf>
    <xf numFmtId="0" fontId="9" fillId="3" borderId="1" xfId="0" applyFont="1" applyFill="1" applyBorder="1"/>
    <xf numFmtId="0" fontId="61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61" fillId="3" borderId="20" xfId="0" applyFont="1" applyFill="1" applyBorder="1" applyAlignment="1">
      <alignment horizontal="center"/>
    </xf>
    <xf numFmtId="0" fontId="61" fillId="3" borderId="2" xfId="0" applyFont="1" applyFill="1" applyBorder="1" applyAlignment="1">
      <alignment horizontal="center"/>
    </xf>
    <xf numFmtId="0" fontId="61" fillId="3" borderId="2" xfId="0" applyFont="1" applyFill="1" applyBorder="1" applyAlignment="1">
      <alignment vertical="center"/>
    </xf>
    <xf numFmtId="0" fontId="61" fillId="3" borderId="20" xfId="0" applyFont="1" applyFill="1" applyBorder="1" applyAlignment="1">
      <alignment horizontal="center" vertical="center"/>
    </xf>
    <xf numFmtId="0" fontId="61" fillId="3" borderId="9" xfId="0" applyFont="1" applyFill="1" applyBorder="1"/>
    <xf numFmtId="0" fontId="61" fillId="3" borderId="1" xfId="0" applyFont="1" applyFill="1" applyBorder="1"/>
    <xf numFmtId="0" fontId="70" fillId="3" borderId="8" xfId="0" applyFont="1" applyFill="1" applyBorder="1" applyAlignment="1">
      <alignment horizontal="center" vertical="center" wrapText="1"/>
    </xf>
    <xf numFmtId="0" fontId="70" fillId="3" borderId="12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71" fillId="4" borderId="1" xfId="0" applyFont="1" applyFill="1" applyBorder="1" applyAlignment="1">
      <alignment vertical="center" wrapText="1"/>
    </xf>
    <xf numFmtId="0" fontId="71" fillId="3" borderId="1" xfId="0" applyFont="1" applyFill="1" applyBorder="1" applyAlignment="1">
      <alignment vertical="center" wrapText="1"/>
    </xf>
    <xf numFmtId="0" fontId="71" fillId="3" borderId="1" xfId="0" applyFont="1" applyFill="1" applyBorder="1" applyAlignment="1">
      <alignment horizontal="left" vertical="center" wrapText="1"/>
    </xf>
    <xf numFmtId="0" fontId="72" fillId="4" borderId="1" xfId="0" applyFont="1" applyFill="1" applyBorder="1" applyAlignment="1">
      <alignment vertical="center" wrapText="1"/>
    </xf>
    <xf numFmtId="0" fontId="70" fillId="3" borderId="1" xfId="0" applyFont="1" applyFill="1" applyBorder="1"/>
    <xf numFmtId="0" fontId="39" fillId="4" borderId="19" xfId="0" applyFont="1" applyFill="1" applyBorder="1" applyAlignment="1">
      <alignment vertical="center" wrapText="1"/>
    </xf>
    <xf numFmtId="0" fontId="48" fillId="3" borderId="1" xfId="0" applyFont="1" applyFill="1" applyBorder="1" applyAlignment="1">
      <alignment horizontal="center" vertical="center" textRotation="90" wrapText="1"/>
    </xf>
    <xf numFmtId="0" fontId="61" fillId="3" borderId="30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30" xfId="0" applyFont="1" applyFill="1" applyBorder="1"/>
    <xf numFmtId="0" fontId="70" fillId="3" borderId="30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0" fontId="22" fillId="4" borderId="39" xfId="0" applyFont="1" applyFill="1" applyBorder="1" applyAlignment="1">
      <alignment vertical="center" wrapText="1"/>
    </xf>
    <xf numFmtId="14" fontId="4" fillId="0" borderId="1" xfId="0" applyNumberFormat="1" applyFont="1" applyBorder="1" applyAlignment="1">
      <alignment horizontal="center" vertical="center" textRotation="90" wrapText="1"/>
    </xf>
    <xf numFmtId="14" fontId="54" fillId="3" borderId="1" xfId="0" applyNumberFormat="1" applyFont="1" applyFill="1" applyBorder="1" applyAlignment="1">
      <alignment horizontal="center" vertical="center" textRotation="90" wrapText="1"/>
    </xf>
    <xf numFmtId="14" fontId="0" fillId="0" borderId="1" xfId="0" applyNumberFormat="1" applyFont="1" applyBorder="1" applyAlignment="1">
      <alignment horizontal="center" vertical="center" textRotation="90" wrapText="1"/>
    </xf>
    <xf numFmtId="0" fontId="31" fillId="3" borderId="1" xfId="0" applyFont="1" applyFill="1" applyBorder="1" applyAlignment="1">
      <alignment horizontal="center" vertical="center" textRotation="90" wrapText="1"/>
    </xf>
    <xf numFmtId="0" fontId="11" fillId="3" borderId="19" xfId="0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vertical="center" wrapText="1"/>
    </xf>
    <xf numFmtId="0" fontId="33" fillId="0" borderId="0" xfId="0" applyFont="1" applyBorder="1"/>
    <xf numFmtId="0" fontId="3" fillId="3" borderId="1" xfId="0" applyFont="1" applyFill="1" applyBorder="1" applyAlignment="1">
      <alignment horizontal="center" vertical="center" textRotation="90" wrapText="1"/>
    </xf>
    <xf numFmtId="14" fontId="20" fillId="0" borderId="10" xfId="0" applyNumberFormat="1" applyFont="1" applyBorder="1" applyAlignment="1">
      <alignment horizontal="center" vertical="center" textRotation="90"/>
    </xf>
    <xf numFmtId="0" fontId="10" fillId="3" borderId="59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textRotation="90"/>
    </xf>
    <xf numFmtId="0" fontId="11" fillId="3" borderId="1" xfId="0" applyFont="1" applyFill="1" applyBorder="1" applyAlignment="1">
      <alignment horizontal="center" vertical="center" textRotation="90" wrapText="1"/>
    </xf>
    <xf numFmtId="0" fontId="74" fillId="3" borderId="2" xfId="0" applyFont="1" applyFill="1" applyBorder="1" applyAlignment="1">
      <alignment horizontal="center" wrapText="1"/>
    </xf>
    <xf numFmtId="14" fontId="60" fillId="3" borderId="1" xfId="0" applyNumberFormat="1" applyFont="1" applyFill="1" applyBorder="1" applyAlignment="1">
      <alignment horizontal="center" vertical="center" textRotation="90" wrapText="1"/>
    </xf>
    <xf numFmtId="0" fontId="60" fillId="8" borderId="1" xfId="0" applyFont="1" applyFill="1" applyBorder="1" applyAlignment="1">
      <alignment horizontal="center" vertical="center" textRotation="90" wrapText="1"/>
    </xf>
    <xf numFmtId="0" fontId="60" fillId="11" borderId="1" xfId="0" applyFont="1" applyFill="1" applyBorder="1" applyAlignment="1">
      <alignment horizontal="center" vertical="center" textRotation="90" wrapText="1"/>
    </xf>
    <xf numFmtId="0" fontId="78" fillId="14" borderId="1" xfId="0" applyFont="1" applyFill="1" applyBorder="1" applyAlignment="1">
      <alignment horizontal="center" vertical="center" textRotation="90" wrapText="1"/>
    </xf>
    <xf numFmtId="1" fontId="77" fillId="4" borderId="16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textRotation="90" wrapText="1"/>
    </xf>
    <xf numFmtId="14" fontId="0" fillId="3" borderId="1" xfId="0" applyNumberFormat="1" applyFont="1" applyFill="1" applyBorder="1" applyAlignment="1">
      <alignment horizontal="center" vertical="center" textRotation="90" wrapText="1"/>
    </xf>
    <xf numFmtId="14" fontId="32" fillId="3" borderId="1" xfId="0" applyNumberFormat="1" applyFont="1" applyFill="1" applyBorder="1" applyAlignment="1">
      <alignment horizontal="center" vertical="center" textRotation="90" wrapText="1"/>
    </xf>
    <xf numFmtId="14" fontId="32" fillId="3" borderId="1" xfId="0" applyNumberFormat="1" applyFont="1" applyFill="1" applyBorder="1" applyAlignment="1">
      <alignment horizontal="center" vertical="center" textRotation="90"/>
    </xf>
    <xf numFmtId="14" fontId="32" fillId="0" borderId="1" xfId="0" applyNumberFormat="1" applyFont="1" applyBorder="1" applyAlignment="1">
      <alignment horizontal="center" vertical="center" textRotation="90" wrapText="1"/>
    </xf>
    <xf numFmtId="14" fontId="32" fillId="0" borderId="1" xfId="0" applyNumberFormat="1" applyFont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center" vertical="center" textRotation="90" wrapText="1"/>
    </xf>
    <xf numFmtId="0" fontId="78" fillId="3" borderId="1" xfId="0" applyFont="1" applyFill="1" applyBorder="1" applyAlignment="1">
      <alignment horizontal="center" vertical="center" textRotation="90" wrapText="1"/>
    </xf>
    <xf numFmtId="14" fontId="1" fillId="3" borderId="1" xfId="0" applyNumberFormat="1" applyFont="1" applyFill="1" applyBorder="1" applyAlignment="1">
      <alignment horizontal="center" vertical="center" textRotation="90"/>
    </xf>
    <xf numFmtId="0" fontId="38" fillId="5" borderId="1" xfId="0" applyFont="1" applyFill="1" applyBorder="1" applyAlignment="1">
      <alignment horizontal="center" vertical="center" textRotation="90" wrapText="1"/>
    </xf>
    <xf numFmtId="0" fontId="55" fillId="5" borderId="1" xfId="0" applyFont="1" applyFill="1" applyBorder="1" applyAlignment="1">
      <alignment horizontal="center" vertical="center" textRotation="90" wrapText="1"/>
    </xf>
    <xf numFmtId="0" fontId="79" fillId="3" borderId="8" xfId="0" applyFont="1" applyFill="1" applyBorder="1" applyAlignment="1">
      <alignment horizontal="center" vertical="center"/>
    </xf>
    <xf numFmtId="0" fontId="33" fillId="3" borderId="9" xfId="0" applyFont="1" applyFill="1" applyBorder="1" applyAlignment="1">
      <alignment horizontal="center" vertical="center"/>
    </xf>
    <xf numFmtId="0" fontId="33" fillId="3" borderId="19" xfId="0" applyFont="1" applyFill="1" applyBorder="1" applyAlignment="1">
      <alignment horizontal="center" vertical="center"/>
    </xf>
    <xf numFmtId="0" fontId="79" fillId="3" borderId="9" xfId="0" applyFont="1" applyFill="1" applyBorder="1" applyAlignment="1">
      <alignment horizontal="center" vertical="center"/>
    </xf>
    <xf numFmtId="0" fontId="33" fillId="3" borderId="20" xfId="0" applyFont="1" applyFill="1" applyBorder="1" applyAlignment="1">
      <alignment horizontal="center" vertical="center"/>
    </xf>
    <xf numFmtId="0" fontId="55" fillId="11" borderId="9" xfId="0" applyFont="1" applyFill="1" applyBorder="1" applyAlignment="1">
      <alignment horizontal="center" vertical="center"/>
    </xf>
    <xf numFmtId="0" fontId="55" fillId="8" borderId="9" xfId="0" applyFont="1" applyFill="1" applyBorder="1" applyAlignment="1">
      <alignment horizontal="center" vertical="center"/>
    </xf>
    <xf numFmtId="0" fontId="38" fillId="14" borderId="9" xfId="0" applyFont="1" applyFill="1" applyBorder="1" applyAlignment="1">
      <alignment horizontal="center" vertical="center"/>
    </xf>
    <xf numFmtId="0" fontId="80" fillId="3" borderId="8" xfId="0" applyFont="1" applyFill="1" applyBorder="1" applyAlignment="1">
      <alignment horizontal="center" vertical="center"/>
    </xf>
    <xf numFmtId="0" fontId="80" fillId="3" borderId="1" xfId="0" applyFont="1" applyFill="1" applyBorder="1" applyAlignment="1">
      <alignment horizontal="center" vertical="center"/>
    </xf>
    <xf numFmtId="0" fontId="80" fillId="3" borderId="2" xfId="0" applyFont="1" applyFill="1" applyBorder="1" applyAlignment="1">
      <alignment horizontal="center" vertical="center"/>
    </xf>
    <xf numFmtId="0" fontId="55" fillId="11" borderId="1" xfId="0" applyFont="1" applyFill="1" applyBorder="1" applyAlignment="1">
      <alignment horizontal="center" vertical="center"/>
    </xf>
    <xf numFmtId="0" fontId="55" fillId="8" borderId="1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0" fontId="79" fillId="3" borderId="1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vertical="center"/>
    </xf>
    <xf numFmtId="0" fontId="81" fillId="3" borderId="1" xfId="0" applyFont="1" applyFill="1" applyBorder="1" applyAlignment="1">
      <alignment horizontal="center" vertical="center"/>
    </xf>
    <xf numFmtId="0" fontId="55" fillId="8" borderId="1" xfId="0" applyFont="1" applyFill="1" applyBorder="1" applyAlignment="1">
      <alignment vertical="center"/>
    </xf>
    <xf numFmtId="0" fontId="81" fillId="3" borderId="8" xfId="0" applyFont="1" applyFill="1" applyBorder="1" applyAlignment="1">
      <alignment horizontal="center" vertical="center"/>
    </xf>
    <xf numFmtId="0" fontId="80" fillId="3" borderId="9" xfId="0" applyFont="1" applyFill="1" applyBorder="1" applyAlignment="1">
      <alignment horizontal="center" vertical="center"/>
    </xf>
    <xf numFmtId="0" fontId="62" fillId="8" borderId="1" xfId="0" applyFont="1" applyFill="1" applyBorder="1" applyAlignment="1">
      <alignment horizontal="center" vertical="center"/>
    </xf>
    <xf numFmtId="0" fontId="79" fillId="3" borderId="2" xfId="0" applyFont="1" applyFill="1" applyBorder="1" applyAlignment="1">
      <alignment horizontal="center" vertical="center"/>
    </xf>
    <xf numFmtId="0" fontId="79" fillId="3" borderId="20" xfId="0" applyFont="1" applyFill="1" applyBorder="1" applyAlignment="1">
      <alignment horizontal="center" vertical="center"/>
    </xf>
    <xf numFmtId="0" fontId="33" fillId="14" borderId="9" xfId="0" applyFont="1" applyFill="1" applyBorder="1" applyAlignment="1">
      <alignment horizontal="center" vertical="center"/>
    </xf>
    <xf numFmtId="0" fontId="33" fillId="3" borderId="9" xfId="0" applyFont="1" applyFill="1" applyBorder="1"/>
    <xf numFmtId="0" fontId="33" fillId="14" borderId="1" xfId="0" applyFont="1" applyFill="1" applyBorder="1" applyAlignment="1">
      <alignment horizontal="center" vertical="center"/>
    </xf>
    <xf numFmtId="0" fontId="79" fillId="3" borderId="10" xfId="0" applyFont="1" applyFill="1" applyBorder="1" applyAlignment="1">
      <alignment horizontal="center" vertical="center" wrapText="1"/>
    </xf>
    <xf numFmtId="0" fontId="79" fillId="3" borderId="8" xfId="0" applyFont="1" applyFill="1" applyBorder="1" applyAlignment="1">
      <alignment horizontal="center" vertical="center" wrapText="1"/>
    </xf>
    <xf numFmtId="0" fontId="79" fillId="3" borderId="12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38" fillId="3" borderId="59" xfId="0" applyFont="1" applyFill="1" applyBorder="1" applyAlignment="1">
      <alignment horizontal="center" vertical="center" wrapText="1"/>
    </xf>
    <xf numFmtId="0" fontId="38" fillId="3" borderId="30" xfId="0" applyFont="1" applyFill="1" applyBorder="1" applyAlignment="1">
      <alignment horizontal="center" vertical="center"/>
    </xf>
    <xf numFmtId="0" fontId="33" fillId="3" borderId="30" xfId="0" applyFont="1" applyFill="1" applyBorder="1" applyAlignment="1">
      <alignment horizontal="center" vertical="center"/>
    </xf>
    <xf numFmtId="0" fontId="19" fillId="11" borderId="30" xfId="0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horizontal="center" vertical="center"/>
    </xf>
    <xf numFmtId="0" fontId="33" fillId="14" borderId="30" xfId="0" applyFont="1" applyFill="1" applyBorder="1" applyAlignment="1">
      <alignment horizontal="center" vertical="center"/>
    </xf>
    <xf numFmtId="0" fontId="33" fillId="3" borderId="30" xfId="0" applyFont="1" applyFill="1" applyBorder="1"/>
    <xf numFmtId="0" fontId="33" fillId="0" borderId="1" xfId="0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/>
    </xf>
    <xf numFmtId="0" fontId="33" fillId="5" borderId="9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80" fillId="5" borderId="9" xfId="0" applyFont="1" applyFill="1" applyBorder="1" applyAlignment="1">
      <alignment horizontal="center" vertical="center"/>
    </xf>
    <xf numFmtId="0" fontId="79" fillId="5" borderId="1" xfId="0" applyFont="1" applyFill="1" applyBorder="1" applyAlignment="1">
      <alignment horizontal="center" vertical="center"/>
    </xf>
    <xf numFmtId="0" fontId="79" fillId="5" borderId="9" xfId="0" applyFont="1" applyFill="1" applyBorder="1" applyAlignment="1">
      <alignment horizontal="center" vertical="center"/>
    </xf>
    <xf numFmtId="0" fontId="80" fillId="5" borderId="1" xfId="0" applyFont="1" applyFill="1" applyBorder="1" applyAlignment="1">
      <alignment horizontal="center" vertical="center"/>
    </xf>
    <xf numFmtId="0" fontId="38" fillId="5" borderId="30" xfId="0" applyFont="1" applyFill="1" applyBorder="1" applyAlignment="1">
      <alignment horizontal="center" vertical="center"/>
    </xf>
    <xf numFmtId="0" fontId="79" fillId="5" borderId="19" xfId="0" applyFont="1" applyFill="1" applyBorder="1" applyAlignment="1">
      <alignment horizontal="center" vertical="center"/>
    </xf>
    <xf numFmtId="0" fontId="55" fillId="13" borderId="9" xfId="0" applyFont="1" applyFill="1" applyBorder="1" applyAlignment="1">
      <alignment horizontal="center" vertical="center"/>
    </xf>
    <xf numFmtId="0" fontId="55" fillId="8" borderId="20" xfId="0" applyFont="1" applyFill="1" applyBorder="1" applyAlignment="1">
      <alignment horizontal="center" vertical="center"/>
    </xf>
    <xf numFmtId="0" fontId="55" fillId="14" borderId="9" xfId="0" applyFont="1" applyFill="1" applyBorder="1" applyAlignment="1">
      <alignment horizontal="center" vertical="center"/>
    </xf>
    <xf numFmtId="0" fontId="38" fillId="3" borderId="9" xfId="0" applyFont="1" applyFill="1" applyBorder="1" applyAlignment="1">
      <alignment horizontal="center"/>
    </xf>
    <xf numFmtId="0" fontId="55" fillId="13" borderId="1" xfId="0" applyFont="1" applyFill="1" applyBorder="1" applyAlignment="1">
      <alignment horizontal="center" vertical="center"/>
    </xf>
    <xf numFmtId="0" fontId="55" fillId="8" borderId="2" xfId="0" applyFont="1" applyFill="1" applyBorder="1" applyAlignment="1">
      <alignment horizontal="center" vertical="center"/>
    </xf>
    <xf numFmtId="0" fontId="55" fillId="14" borderId="1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/>
    </xf>
    <xf numFmtId="0" fontId="55" fillId="14" borderId="1" xfId="0" applyFont="1" applyFill="1" applyBorder="1" applyAlignment="1">
      <alignment vertical="center"/>
    </xf>
    <xf numFmtId="0" fontId="62" fillId="3" borderId="10" xfId="0" applyFont="1" applyFill="1" applyBorder="1" applyAlignment="1">
      <alignment horizontal="center" vertical="center"/>
    </xf>
    <xf numFmtId="0" fontId="38" fillId="3" borderId="1" xfId="0" applyFont="1" applyFill="1" applyBorder="1"/>
    <xf numFmtId="0" fontId="55" fillId="14" borderId="1" xfId="0" applyFont="1" applyFill="1" applyBorder="1" applyAlignment="1">
      <alignment horizontal="center"/>
    </xf>
    <xf numFmtId="0" fontId="55" fillId="14" borderId="2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19" fillId="14" borderId="1" xfId="0" applyFont="1" applyFill="1" applyBorder="1" applyAlignment="1">
      <alignment horizontal="center"/>
    </xf>
    <xf numFmtId="0" fontId="55" fillId="13" borderId="30" xfId="0" applyFont="1" applyFill="1" applyBorder="1" applyAlignment="1">
      <alignment horizontal="center" vertical="center"/>
    </xf>
    <xf numFmtId="0" fontId="19" fillId="14" borderId="30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0" fontId="19" fillId="3" borderId="0" xfId="0" applyFont="1" applyFill="1" applyBorder="1" applyAlignment="1">
      <alignment horizontal="center" vertical="center"/>
    </xf>
    <xf numFmtId="0" fontId="33" fillId="3" borderId="0" xfId="0" applyFont="1" applyFill="1" applyBorder="1" applyAlignment="1">
      <alignment horizontal="center" vertical="center"/>
    </xf>
    <xf numFmtId="0" fontId="38" fillId="8" borderId="9" xfId="0" applyFont="1" applyFill="1" applyBorder="1" applyAlignment="1">
      <alignment horizontal="center" vertical="center"/>
    </xf>
    <xf numFmtId="0" fontId="38" fillId="8" borderId="1" xfId="0" applyFont="1" applyFill="1" applyBorder="1" applyAlignment="1">
      <alignment horizontal="center" vertical="center"/>
    </xf>
    <xf numFmtId="0" fontId="5" fillId="3" borderId="59" xfId="0" applyFont="1" applyFill="1" applyBorder="1" applyAlignment="1">
      <alignment horizontal="center" vertical="center" wrapText="1"/>
    </xf>
    <xf numFmtId="0" fontId="38" fillId="8" borderId="30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0" fontId="83" fillId="3" borderId="1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71" fillId="4" borderId="2" xfId="0" applyFont="1" applyFill="1" applyBorder="1" applyAlignment="1">
      <alignment vertical="center" wrapText="1"/>
    </xf>
    <xf numFmtId="0" fontId="26" fillId="0" borderId="2" xfId="0" applyFont="1" applyBorder="1" applyAlignment="1">
      <alignment horizontal="left" vertical="center" wrapText="1"/>
    </xf>
    <xf numFmtId="0" fontId="22" fillId="4" borderId="2" xfId="0" applyFont="1" applyFill="1" applyBorder="1" applyAlignment="1">
      <alignment vertical="center" wrapText="1"/>
    </xf>
    <xf numFmtId="0" fontId="24" fillId="0" borderId="2" xfId="0" applyFont="1" applyBorder="1" applyAlignment="1">
      <alignment horizontal="left" vertical="center" wrapText="1"/>
    </xf>
    <xf numFmtId="0" fontId="72" fillId="4" borderId="2" xfId="0" applyFont="1" applyFill="1" applyBorder="1" applyAlignment="1">
      <alignment vertical="center" wrapText="1"/>
    </xf>
    <xf numFmtId="0" fontId="22" fillId="4" borderId="24" xfId="0" applyFont="1" applyFill="1" applyBorder="1" applyAlignment="1">
      <alignment vertical="center" wrapText="1"/>
    </xf>
    <xf numFmtId="0" fontId="40" fillId="0" borderId="2" xfId="0" applyFont="1" applyBorder="1" applyAlignment="1">
      <alignment horizontal="left" vertical="top" wrapText="1"/>
    </xf>
    <xf numFmtId="0" fontId="33" fillId="0" borderId="10" xfId="0" applyFont="1" applyBorder="1" applyAlignment="1">
      <alignment horizontal="center" vertical="center"/>
    </xf>
    <xf numFmtId="1" fontId="82" fillId="4" borderId="1" xfId="0" applyNumberFormat="1" applyFont="1" applyFill="1" applyBorder="1" applyAlignment="1">
      <alignment horizontal="center" vertical="center" wrapText="1"/>
    </xf>
    <xf numFmtId="0" fontId="40" fillId="0" borderId="0" xfId="0" applyFont="1" applyBorder="1" applyAlignment="1">
      <alignment horizontal="left" vertical="top" wrapText="1"/>
    </xf>
    <xf numFmtId="1" fontId="82" fillId="4" borderId="0" xfId="0" applyNumberFormat="1" applyFont="1" applyFill="1" applyBorder="1" applyAlignment="1">
      <alignment horizontal="center" vertical="center" wrapText="1"/>
    </xf>
    <xf numFmtId="0" fontId="62" fillId="3" borderId="30" xfId="0" applyFont="1" applyFill="1" applyBorder="1" applyAlignment="1">
      <alignment horizontal="center" vertical="center"/>
    </xf>
    <xf numFmtId="0" fontId="15" fillId="0" borderId="1" xfId="0" applyFont="1" applyBorder="1"/>
    <xf numFmtId="0" fontId="23" fillId="4" borderId="2" xfId="0" applyFont="1" applyFill="1" applyBorder="1" applyAlignment="1">
      <alignment vertical="center" wrapText="1"/>
    </xf>
    <xf numFmtId="0" fontId="22" fillId="4" borderId="21" xfId="0" applyFont="1" applyFill="1" applyBorder="1" applyAlignment="1">
      <alignment vertical="center" wrapText="1"/>
    </xf>
    <xf numFmtId="0" fontId="33" fillId="0" borderId="10" xfId="0" applyFont="1" applyBorder="1"/>
    <xf numFmtId="0" fontId="40" fillId="0" borderId="2" xfId="0" applyFont="1" applyBorder="1" applyAlignment="1">
      <alignment wrapText="1"/>
    </xf>
    <xf numFmtId="0" fontId="64" fillId="4" borderId="2" xfId="0" applyFont="1" applyFill="1" applyBorder="1" applyAlignment="1">
      <alignment vertical="center" wrapText="1"/>
    </xf>
    <xf numFmtId="0" fontId="67" fillId="0" borderId="2" xfId="0" applyFont="1" applyBorder="1" applyAlignment="1">
      <alignment horizontal="left" vertical="center" wrapText="1"/>
    </xf>
    <xf numFmtId="0" fontId="65" fillId="4" borderId="2" xfId="0" applyFont="1" applyFill="1" applyBorder="1" applyAlignment="1">
      <alignment vertical="center" wrapText="1"/>
    </xf>
    <xf numFmtId="0" fontId="24" fillId="4" borderId="2" xfId="0" applyFont="1" applyFill="1" applyBorder="1" applyAlignment="1">
      <alignment vertical="center" wrapText="1"/>
    </xf>
    <xf numFmtId="0" fontId="25" fillId="4" borderId="2" xfId="0" applyFont="1" applyFill="1" applyBorder="1" applyAlignment="1">
      <alignment vertical="center" wrapText="1"/>
    </xf>
    <xf numFmtId="0" fontId="17" fillId="0" borderId="0" xfId="0" applyFont="1" applyBorder="1" applyAlignment="1">
      <alignment horizontal="center" vertical="center"/>
    </xf>
    <xf numFmtId="0" fontId="38" fillId="5" borderId="10" xfId="0" applyFont="1" applyFill="1" applyBorder="1" applyAlignment="1"/>
    <xf numFmtId="0" fontId="38" fillId="5" borderId="8" xfId="0" applyFont="1" applyFill="1" applyBorder="1" applyAlignment="1">
      <alignment horizontal="center" vertical="center"/>
    </xf>
    <xf numFmtId="0" fontId="62" fillId="5" borderId="8" xfId="0" applyFont="1" applyFill="1" applyBorder="1" applyAlignment="1">
      <alignment horizontal="center" vertical="center"/>
    </xf>
    <xf numFmtId="0" fontId="83" fillId="5" borderId="8" xfId="0" applyFont="1" applyFill="1" applyBorder="1" applyAlignment="1">
      <alignment horizontal="center" vertical="center"/>
    </xf>
    <xf numFmtId="0" fontId="83" fillId="5" borderId="1" xfId="0" applyFont="1" applyFill="1" applyBorder="1" applyAlignment="1">
      <alignment horizontal="center" vertical="center"/>
    </xf>
    <xf numFmtId="0" fontId="83" fillId="5" borderId="9" xfId="0" applyFont="1" applyFill="1" applyBorder="1" applyAlignment="1">
      <alignment horizontal="center" vertical="center"/>
    </xf>
    <xf numFmtId="0" fontId="38" fillId="5" borderId="10" xfId="0" applyFont="1" applyFill="1" applyBorder="1" applyAlignment="1">
      <alignment horizontal="center" vertical="center"/>
    </xf>
    <xf numFmtId="0" fontId="80" fillId="5" borderId="8" xfId="0" applyFont="1" applyFill="1" applyBorder="1" applyAlignment="1">
      <alignment horizontal="center" vertical="center"/>
    </xf>
    <xf numFmtId="0" fontId="38" fillId="5" borderId="8" xfId="0" applyFont="1" applyFill="1" applyBorder="1" applyAlignment="1">
      <alignment horizontal="center" vertical="center" wrapText="1"/>
    </xf>
    <xf numFmtId="0" fontId="80" fillId="5" borderId="10" xfId="0" applyFont="1" applyFill="1" applyBorder="1" applyAlignment="1">
      <alignment horizontal="center" vertical="center" wrapText="1"/>
    </xf>
    <xf numFmtId="0" fontId="38" fillId="5" borderId="10" xfId="0" applyFont="1" applyFill="1" applyBorder="1" applyAlignment="1">
      <alignment horizontal="center" vertical="center" wrapText="1"/>
    </xf>
    <xf numFmtId="0" fontId="62" fillId="5" borderId="10" xfId="0" applyFont="1" applyFill="1" applyBorder="1" applyAlignment="1">
      <alignment horizontal="center" vertical="center" wrapText="1"/>
    </xf>
    <xf numFmtId="0" fontId="62" fillId="5" borderId="8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38" fillId="5" borderId="11" xfId="0" applyFont="1" applyFill="1" applyBorder="1" applyAlignment="1">
      <alignment horizontal="center" vertical="center" wrapText="1"/>
    </xf>
    <xf numFmtId="0" fontId="38" fillId="5" borderId="12" xfId="0" applyFont="1" applyFill="1" applyBorder="1" applyAlignment="1">
      <alignment horizontal="center" vertical="center" wrapText="1"/>
    </xf>
    <xf numFmtId="0" fontId="62" fillId="5" borderId="59" xfId="0" applyFont="1" applyFill="1" applyBorder="1" applyAlignment="1">
      <alignment horizontal="center" vertical="center" wrapText="1"/>
    </xf>
    <xf numFmtId="0" fontId="33" fillId="5" borderId="10" xfId="0" applyFont="1" applyFill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3" fillId="3" borderId="0" xfId="0" applyFont="1" applyFill="1"/>
    <xf numFmtId="14" fontId="20" fillId="3" borderId="10" xfId="0" applyNumberFormat="1" applyFont="1" applyFill="1" applyBorder="1" applyAlignment="1">
      <alignment horizontal="center" vertical="center" textRotation="90"/>
    </xf>
    <xf numFmtId="0" fontId="48" fillId="3" borderId="8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60" fillId="3" borderId="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 vertical="center"/>
    </xf>
    <xf numFmtId="0" fontId="60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/>
    </xf>
    <xf numFmtId="0" fontId="48" fillId="3" borderId="1" xfId="0" applyFont="1" applyFill="1" applyBorder="1" applyAlignment="1">
      <alignment vertical="center"/>
    </xf>
    <xf numFmtId="0" fontId="60" fillId="3" borderId="8" xfId="0" applyFont="1" applyFill="1" applyBorder="1" applyAlignment="1">
      <alignment horizontal="center" vertical="center"/>
    </xf>
    <xf numFmtId="0" fontId="84" fillId="3" borderId="1" xfId="0" applyFont="1" applyFill="1" applyBorder="1" applyAlignment="1">
      <alignment horizontal="center" vertical="center"/>
    </xf>
    <xf numFmtId="0" fontId="85" fillId="3" borderId="1" xfId="0" applyFont="1" applyFill="1" applyBorder="1" applyAlignment="1">
      <alignment horizontal="center" vertical="center"/>
    </xf>
    <xf numFmtId="0" fontId="85" fillId="3" borderId="8" xfId="0" applyFont="1" applyFill="1" applyBorder="1" applyAlignment="1">
      <alignment horizontal="center" vertical="center"/>
    </xf>
    <xf numFmtId="0" fontId="85" fillId="3" borderId="9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60" fillId="3" borderId="10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84" fillId="3" borderId="8" xfId="0" applyFont="1" applyFill="1" applyBorder="1" applyAlignment="1">
      <alignment horizontal="center" vertical="center" wrapText="1"/>
    </xf>
    <xf numFmtId="0" fontId="84" fillId="3" borderId="9" xfId="0" applyFont="1" applyFill="1" applyBorder="1" applyAlignment="1">
      <alignment horizontal="center" vertical="center"/>
    </xf>
    <xf numFmtId="0" fontId="48" fillId="3" borderId="19" xfId="0" applyFont="1" applyFill="1" applyBorder="1" applyAlignment="1">
      <alignment horizontal="center" vertical="center"/>
    </xf>
    <xf numFmtId="0" fontId="48" fillId="3" borderId="9" xfId="0" applyFont="1" applyFill="1" applyBorder="1"/>
    <xf numFmtId="0" fontId="0" fillId="3" borderId="9" xfId="0" applyFont="1" applyFill="1" applyBorder="1"/>
    <xf numFmtId="0" fontId="60" fillId="3" borderId="10" xfId="0" applyFont="1" applyFill="1" applyBorder="1" applyAlignment="1">
      <alignment horizontal="center" vertical="center" wrapText="1"/>
    </xf>
    <xf numFmtId="0" fontId="48" fillId="3" borderId="1" xfId="0" applyFont="1" applyFill="1" applyBorder="1"/>
    <xf numFmtId="0" fontId="0" fillId="3" borderId="1" xfId="0" applyFont="1" applyFill="1" applyBorder="1"/>
    <xf numFmtId="0" fontId="48" fillId="3" borderId="10" xfId="0" applyFont="1" applyFill="1" applyBorder="1" applyAlignment="1">
      <alignment horizontal="center" vertical="center" wrapText="1"/>
    </xf>
    <xf numFmtId="0" fontId="60" fillId="3" borderId="8" xfId="0" applyFont="1" applyFill="1" applyBorder="1" applyAlignment="1">
      <alignment horizontal="center" vertical="center" wrapText="1"/>
    </xf>
    <xf numFmtId="0" fontId="48" fillId="3" borderId="11" xfId="0" applyFont="1" applyFill="1" applyBorder="1" applyAlignment="1">
      <alignment horizontal="center" vertical="center" wrapText="1"/>
    </xf>
    <xf numFmtId="0" fontId="60" fillId="3" borderId="11" xfId="0" applyFont="1" applyFill="1" applyBorder="1" applyAlignment="1">
      <alignment horizontal="center" vertical="center" wrapText="1"/>
    </xf>
    <xf numFmtId="0" fontId="48" fillId="3" borderId="59" xfId="0" applyFont="1" applyFill="1" applyBorder="1" applyAlignment="1">
      <alignment horizontal="center" vertical="center" wrapText="1"/>
    </xf>
    <xf numFmtId="0" fontId="48" fillId="3" borderId="30" xfId="0" applyFont="1" applyFill="1" applyBorder="1" applyAlignment="1">
      <alignment horizontal="center" vertical="center"/>
    </xf>
    <xf numFmtId="0" fontId="0" fillId="3" borderId="30" xfId="0" applyFont="1" applyFill="1" applyBorder="1" applyAlignment="1">
      <alignment horizontal="center" vertical="center"/>
    </xf>
    <xf numFmtId="0" fontId="11" fillId="3" borderId="30" xfId="0" applyFont="1" applyFill="1" applyBorder="1" applyAlignment="1">
      <alignment horizontal="center" vertical="center"/>
    </xf>
    <xf numFmtId="0" fontId="0" fillId="3" borderId="30" xfId="0" applyFont="1" applyFill="1" applyBorder="1"/>
    <xf numFmtId="0" fontId="0" fillId="0" borderId="1" xfId="0" applyFont="1" applyBorder="1"/>
    <xf numFmtId="0" fontId="48" fillId="3" borderId="1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68" fillId="3" borderId="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86" fillId="3" borderId="8" xfId="0" applyFont="1" applyFill="1" applyBorder="1" applyAlignment="1">
      <alignment horizontal="center" vertical="center"/>
    </xf>
    <xf numFmtId="0" fontId="86" fillId="3" borderId="1" xfId="0" applyFont="1" applyFill="1" applyBorder="1" applyAlignment="1">
      <alignment horizontal="center" vertical="center"/>
    </xf>
    <xf numFmtId="0" fontId="86" fillId="3" borderId="2" xfId="0" applyFont="1" applyFill="1" applyBorder="1" applyAlignment="1">
      <alignment horizontal="center" vertical="center"/>
    </xf>
    <xf numFmtId="0" fontId="68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0" fontId="70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87" fillId="3" borderId="8" xfId="0" applyFont="1" applyFill="1" applyBorder="1" applyAlignment="1">
      <alignment horizontal="center" vertical="center"/>
    </xf>
    <xf numFmtId="0" fontId="68" fillId="3" borderId="2" xfId="0" applyFont="1" applyFill="1" applyBorder="1" applyAlignment="1">
      <alignment horizontal="center" vertical="center"/>
    </xf>
    <xf numFmtId="0" fontId="68" fillId="3" borderId="20" xfId="0" applyFont="1" applyFill="1" applyBorder="1" applyAlignment="1">
      <alignment horizontal="center" vertical="center"/>
    </xf>
    <xf numFmtId="0" fontId="68" fillId="3" borderId="10" xfId="0" applyFont="1" applyFill="1" applyBorder="1" applyAlignment="1">
      <alignment horizontal="center" vertical="center" wrapText="1"/>
    </xf>
    <xf numFmtId="0" fontId="68" fillId="3" borderId="8" xfId="0" applyFont="1" applyFill="1" applyBorder="1" applyAlignment="1">
      <alignment horizontal="center" vertical="center" wrapText="1"/>
    </xf>
    <xf numFmtId="0" fontId="68" fillId="3" borderId="12" xfId="0" applyFont="1" applyFill="1" applyBorder="1" applyAlignment="1">
      <alignment horizontal="center" vertical="center" wrapText="1"/>
    </xf>
    <xf numFmtId="0" fontId="61" fillId="3" borderId="59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/>
    </xf>
    <xf numFmtId="0" fontId="85" fillId="3" borderId="9" xfId="0" applyFont="1" applyFill="1" applyBorder="1" applyAlignment="1">
      <alignment horizontal="center"/>
    </xf>
    <xf numFmtId="0" fontId="48" fillId="3" borderId="19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/>
    </xf>
    <xf numFmtId="0" fontId="85" fillId="3" borderId="1" xfId="0" applyFont="1" applyFill="1" applyBorder="1" applyAlignment="1">
      <alignment horizontal="center"/>
    </xf>
    <xf numFmtId="0" fontId="60" fillId="3" borderId="8" xfId="0" applyFont="1" applyFill="1" applyBorder="1" applyAlignment="1">
      <alignment horizontal="center"/>
    </xf>
    <xf numFmtId="0" fontId="88" fillId="3" borderId="1" xfId="0" applyFont="1" applyFill="1" applyBorder="1" applyAlignment="1">
      <alignment horizontal="center"/>
    </xf>
    <xf numFmtId="0" fontId="60" fillId="3" borderId="9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 wrapText="1"/>
    </xf>
    <xf numFmtId="0" fontId="85" fillId="3" borderId="10" xfId="0" applyFont="1" applyFill="1" applyBorder="1" applyAlignment="1">
      <alignment horizontal="center" wrapText="1"/>
    </xf>
    <xf numFmtId="0" fontId="48" fillId="3" borderId="10" xfId="0" applyFont="1" applyFill="1" applyBorder="1" applyAlignment="1">
      <alignment horizontal="center" wrapText="1"/>
    </xf>
    <xf numFmtId="0" fontId="60" fillId="3" borderId="10" xfId="0" applyFont="1" applyFill="1" applyBorder="1" applyAlignment="1">
      <alignment horizontal="center" wrapText="1"/>
    </xf>
    <xf numFmtId="0" fontId="60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60" fillId="3" borderId="8" xfId="0" applyFont="1" applyFill="1" applyBorder="1" applyAlignment="1">
      <alignment horizontal="center" wrapText="1"/>
    </xf>
    <xf numFmtId="0" fontId="69" fillId="3" borderId="1" xfId="0" applyFont="1" applyFill="1" applyBorder="1" applyAlignment="1">
      <alignment horizontal="center"/>
    </xf>
    <xf numFmtId="0" fontId="48" fillId="3" borderId="11" xfId="0" applyFont="1" applyFill="1" applyBorder="1" applyAlignment="1">
      <alignment horizontal="center" wrapText="1"/>
    </xf>
    <xf numFmtId="0" fontId="48" fillId="3" borderId="12" xfId="0" applyFont="1" applyFill="1" applyBorder="1" applyAlignment="1">
      <alignment horizontal="center" wrapText="1"/>
    </xf>
    <xf numFmtId="0" fontId="60" fillId="3" borderId="59" xfId="0" applyFont="1" applyFill="1" applyBorder="1" applyAlignment="1">
      <alignment horizontal="center" wrapText="1"/>
    </xf>
    <xf numFmtId="0" fontId="48" fillId="3" borderId="30" xfId="0" applyFont="1" applyFill="1" applyBorder="1" applyAlignment="1">
      <alignment horizontal="center"/>
    </xf>
    <xf numFmtId="0" fontId="69" fillId="3" borderId="30" xfId="0" applyFont="1" applyFill="1" applyBorder="1" applyAlignment="1">
      <alignment horizontal="center"/>
    </xf>
    <xf numFmtId="0" fontId="0" fillId="3" borderId="30" xfId="0" applyFont="1" applyFill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0" fontId="61" fillId="3" borderId="12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9" fillId="0" borderId="1" xfId="0" applyFont="1" applyBorder="1"/>
    <xf numFmtId="0" fontId="11" fillId="11" borderId="9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11" borderId="30" xfId="0" applyFont="1" applyFill="1" applyBorder="1" applyAlignment="1">
      <alignment horizontal="center" vertical="center"/>
    </xf>
    <xf numFmtId="0" fontId="55" fillId="3" borderId="1" xfId="0" applyFont="1" applyFill="1" applyBorder="1" applyAlignment="1">
      <alignment horizontal="center" vertical="center" textRotation="90"/>
    </xf>
    <xf numFmtId="14" fontId="11" fillId="3" borderId="1" xfId="0" applyNumberFormat="1" applyFont="1" applyFill="1" applyBorder="1" applyAlignment="1">
      <alignment horizontal="center" vertical="center" textRotation="90"/>
    </xf>
    <xf numFmtId="14" fontId="31" fillId="3" borderId="1" xfId="0" applyNumberFormat="1" applyFont="1" applyFill="1" applyBorder="1" applyAlignment="1">
      <alignment horizontal="center" vertical="center" textRotation="90"/>
    </xf>
    <xf numFmtId="0" fontId="75" fillId="3" borderId="10" xfId="0" applyFont="1" applyFill="1" applyBorder="1" applyAlignment="1">
      <alignment horizontal="center" vertical="center"/>
    </xf>
    <xf numFmtId="0" fontId="59" fillId="3" borderId="8" xfId="0" applyFont="1" applyFill="1" applyBorder="1" applyAlignment="1">
      <alignment horizontal="center" vertical="center"/>
    </xf>
    <xf numFmtId="0" fontId="78" fillId="3" borderId="9" xfId="0" applyFont="1" applyFill="1" applyBorder="1" applyAlignment="1">
      <alignment horizontal="center" vertical="center"/>
    </xf>
    <xf numFmtId="0" fontId="59" fillId="3" borderId="9" xfId="0" applyFont="1" applyFill="1" applyBorder="1" applyAlignment="1">
      <alignment horizontal="center" vertical="center"/>
    </xf>
    <xf numFmtId="0" fontId="59" fillId="3" borderId="1" xfId="0" applyFont="1" applyFill="1" applyBorder="1" applyAlignment="1">
      <alignment horizontal="center" vertical="center"/>
    </xf>
    <xf numFmtId="0" fontId="78" fillId="3" borderId="8" xfId="0" applyFont="1" applyFill="1" applyBorder="1" applyAlignment="1">
      <alignment horizontal="center" vertical="center"/>
    </xf>
    <xf numFmtId="0" fontId="59" fillId="3" borderId="10" xfId="0" applyFont="1" applyFill="1" applyBorder="1" applyAlignment="1">
      <alignment horizontal="center" vertical="center"/>
    </xf>
    <xf numFmtId="0" fontId="78" fillId="3" borderId="1" xfId="0" applyFont="1" applyFill="1" applyBorder="1" applyAlignment="1">
      <alignment horizontal="center" vertical="center"/>
    </xf>
    <xf numFmtId="0" fontId="78" fillId="3" borderId="8" xfId="0" applyFont="1" applyFill="1" applyBorder="1" applyAlignment="1">
      <alignment horizontal="center" vertical="center" wrapText="1"/>
    </xf>
    <xf numFmtId="0" fontId="59" fillId="3" borderId="10" xfId="0" applyFont="1" applyFill="1" applyBorder="1" applyAlignment="1">
      <alignment horizontal="center" vertical="center" wrapText="1"/>
    </xf>
    <xf numFmtId="0" fontId="59" fillId="3" borderId="11" xfId="0" applyFont="1" applyFill="1" applyBorder="1" applyAlignment="1">
      <alignment horizontal="center" vertical="center" wrapText="1"/>
    </xf>
    <xf numFmtId="0" fontId="78" fillId="3" borderId="12" xfId="0" applyFont="1" applyFill="1" applyBorder="1" applyAlignment="1">
      <alignment horizontal="center" vertical="center" wrapText="1"/>
    </xf>
    <xf numFmtId="0" fontId="90" fillId="3" borderId="59" xfId="0" applyFont="1" applyFill="1" applyBorder="1" applyAlignment="1">
      <alignment horizontal="center" vertical="center" wrapText="1"/>
    </xf>
    <xf numFmtId="0" fontId="59" fillId="3" borderId="30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14" fontId="20" fillId="3" borderId="1" xfId="0" applyNumberFormat="1" applyFont="1" applyFill="1" applyBorder="1" applyAlignment="1">
      <alignment horizontal="center" vertical="center" textRotation="90" wrapText="1"/>
    </xf>
    <xf numFmtId="0" fontId="30" fillId="3" borderId="1" xfId="0" applyFont="1" applyFill="1" applyBorder="1" applyAlignment="1">
      <alignment horizontal="center" vertical="center" textRotation="90" wrapText="1"/>
    </xf>
    <xf numFmtId="0" fontId="11" fillId="3" borderId="10" xfId="0" applyFont="1" applyFill="1" applyBorder="1" applyAlignment="1">
      <alignment horizontal="center" vertical="center" textRotation="90" wrapText="1"/>
    </xf>
    <xf numFmtId="14" fontId="1" fillId="3" borderId="1" xfId="0" applyNumberFormat="1" applyFont="1" applyFill="1" applyBorder="1" applyAlignment="1">
      <alignment horizontal="center" vertical="center" textRotation="90" wrapText="1"/>
    </xf>
    <xf numFmtId="0" fontId="28" fillId="3" borderId="1" xfId="0" applyFont="1" applyFill="1" applyBorder="1" applyAlignment="1">
      <alignment horizontal="center" vertical="center"/>
    </xf>
    <xf numFmtId="0" fontId="11" fillId="11" borderId="20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30" xfId="0" applyFont="1" applyFill="1" applyBorder="1" applyAlignment="1">
      <alignment horizontal="center" vertical="center"/>
    </xf>
    <xf numFmtId="0" fontId="91" fillId="3" borderId="1" xfId="0" applyFont="1" applyFill="1" applyBorder="1" applyAlignment="1">
      <alignment horizontal="center" vertical="center"/>
    </xf>
    <xf numFmtId="0" fontId="92" fillId="4" borderId="1" xfId="0" applyFont="1" applyFill="1" applyBorder="1" applyAlignment="1">
      <alignment vertical="center" wrapText="1"/>
    </xf>
    <xf numFmtId="14" fontId="20" fillId="3" borderId="1" xfId="0" applyNumberFormat="1" applyFont="1" applyFill="1" applyBorder="1" applyAlignment="1">
      <alignment horizontal="center" vertical="center" textRotation="90"/>
    </xf>
    <xf numFmtId="0" fontId="93" fillId="3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 textRotation="90" wrapText="1"/>
    </xf>
    <xf numFmtId="0" fontId="61" fillId="14" borderId="9" xfId="0" applyFont="1" applyFill="1" applyBorder="1" applyAlignment="1">
      <alignment horizontal="center" vertical="center"/>
    </xf>
    <xf numFmtId="0" fontId="61" fillId="1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vertical="center" wrapText="1"/>
    </xf>
    <xf numFmtId="0" fontId="26" fillId="3" borderId="1" xfId="0" applyFont="1" applyFill="1" applyBorder="1" applyAlignment="1">
      <alignment vertical="center" wrapText="1"/>
    </xf>
    <xf numFmtId="0" fontId="26" fillId="4" borderId="2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91" fillId="3" borderId="1" xfId="0" applyFont="1" applyFill="1" applyBorder="1" applyAlignment="1">
      <alignment horizontal="center" vertical="center" textRotation="90" wrapText="1"/>
    </xf>
    <xf numFmtId="0" fontId="95" fillId="3" borderId="1" xfId="0" applyFont="1" applyFill="1" applyBorder="1" applyAlignment="1">
      <alignment horizontal="center" vertical="center" textRotation="90" wrapText="1"/>
    </xf>
    <xf numFmtId="14" fontId="19" fillId="3" borderId="1" xfId="0" applyNumberFormat="1" applyFont="1" applyFill="1" applyBorder="1" applyAlignment="1">
      <alignment horizontal="center" vertical="center" textRotation="90" wrapText="1"/>
    </xf>
    <xf numFmtId="0" fontId="31" fillId="3" borderId="10" xfId="0" applyFont="1" applyFill="1" applyBorder="1" applyAlignment="1">
      <alignment horizontal="center" vertical="center" textRotation="90" wrapText="1"/>
    </xf>
    <xf numFmtId="0" fontId="22" fillId="6" borderId="1" xfId="0" applyFont="1" applyFill="1" applyBorder="1" applyAlignment="1">
      <alignment vertical="center" wrapText="1"/>
    </xf>
    <xf numFmtId="0" fontId="96" fillId="3" borderId="1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left" vertical="center" wrapText="1"/>
    </xf>
    <xf numFmtId="0" fontId="26" fillId="6" borderId="1" xfId="0" applyFont="1" applyFill="1" applyBorder="1" applyAlignment="1">
      <alignment vertical="center" wrapText="1"/>
    </xf>
    <xf numFmtId="0" fontId="27" fillId="6" borderId="1" xfId="0" applyFont="1" applyFill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97" fillId="0" borderId="2" xfId="0" applyFont="1" applyBorder="1" applyAlignment="1">
      <alignment horizontal="left" vertical="top" wrapText="1"/>
    </xf>
    <xf numFmtId="0" fontId="71" fillId="4" borderId="21" xfId="0" applyFont="1" applyFill="1" applyBorder="1" applyAlignment="1">
      <alignment vertical="center" wrapText="1"/>
    </xf>
    <xf numFmtId="0" fontId="31" fillId="5" borderId="1" xfId="0" applyFont="1" applyFill="1" applyBorder="1" applyAlignment="1">
      <alignment horizontal="center" vertical="center" textRotation="90" wrapText="1"/>
    </xf>
    <xf numFmtId="0" fontId="47" fillId="5" borderId="1" xfId="0" applyFont="1" applyFill="1" applyBorder="1" applyAlignment="1">
      <alignment horizontal="center" vertical="center" textRotation="90" wrapText="1"/>
    </xf>
    <xf numFmtId="0" fontId="11" fillId="5" borderId="1" xfId="0" applyFont="1" applyFill="1" applyBorder="1" applyAlignment="1">
      <alignment horizontal="center" vertical="center" textRotation="90" wrapText="1"/>
    </xf>
    <xf numFmtId="0" fontId="68" fillId="7" borderId="9" xfId="0" applyFont="1" applyFill="1" applyBorder="1" applyAlignment="1">
      <alignment horizontal="center" vertical="center"/>
    </xf>
    <xf numFmtId="0" fontId="61" fillId="7" borderId="9" xfId="0" applyFont="1" applyFill="1" applyBorder="1" applyAlignment="1">
      <alignment horizontal="center" vertical="center"/>
    </xf>
    <xf numFmtId="0" fontId="61" fillId="7" borderId="1" xfId="0" applyFont="1" applyFill="1" applyBorder="1" applyAlignment="1">
      <alignment horizontal="center" vertical="center"/>
    </xf>
    <xf numFmtId="0" fontId="86" fillId="7" borderId="1" xfId="0" applyFont="1" applyFill="1" applyBorder="1" applyAlignment="1">
      <alignment horizontal="center" vertical="center"/>
    </xf>
    <xf numFmtId="0" fontId="86" fillId="7" borderId="9" xfId="0" applyFont="1" applyFill="1" applyBorder="1" applyAlignment="1">
      <alignment horizontal="center" vertical="center"/>
    </xf>
    <xf numFmtId="0" fontId="68" fillId="7" borderId="1" xfId="0" applyFont="1" applyFill="1" applyBorder="1" applyAlignment="1">
      <alignment horizontal="center" vertical="center"/>
    </xf>
    <xf numFmtId="0" fontId="61" fillId="7" borderId="30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30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87" fillId="7" borderId="1" xfId="0" applyFont="1" applyFill="1" applyBorder="1" applyAlignment="1">
      <alignment horizontal="center" vertical="center"/>
    </xf>
    <xf numFmtId="0" fontId="55" fillId="5" borderId="10" xfId="0" applyFont="1" applyFill="1" applyBorder="1" applyAlignment="1">
      <alignment horizontal="center" vertical="center" textRotation="90" wrapText="1"/>
    </xf>
    <xf numFmtId="0" fontId="3" fillId="5" borderId="1" xfId="0" applyFont="1" applyFill="1" applyBorder="1" applyAlignment="1">
      <alignment horizontal="center" vertical="center" textRotation="90" wrapText="1"/>
    </xf>
    <xf numFmtId="0" fontId="78" fillId="5" borderId="1" xfId="0" applyFont="1" applyFill="1" applyBorder="1" applyAlignment="1">
      <alignment horizontal="center" vertical="center" textRotation="90" wrapText="1"/>
    </xf>
    <xf numFmtId="0" fontId="60" fillId="5" borderId="1" xfId="0" applyFont="1" applyFill="1" applyBorder="1" applyAlignment="1">
      <alignment horizontal="center" vertical="center" textRotation="90" wrapText="1"/>
    </xf>
    <xf numFmtId="0" fontId="61" fillId="0" borderId="8" xfId="0" applyFont="1" applyFill="1" applyBorder="1" applyAlignment="1">
      <alignment horizontal="center" vertical="center"/>
    </xf>
    <xf numFmtId="0" fontId="61" fillId="0" borderId="9" xfId="0" applyFont="1" applyFill="1" applyBorder="1" applyAlignment="1">
      <alignment horizontal="center" vertical="center"/>
    </xf>
    <xf numFmtId="0" fontId="61" fillId="0" borderId="1" xfId="0" applyFont="1" applyFill="1" applyBorder="1" applyAlignment="1">
      <alignment horizontal="center" vertical="center"/>
    </xf>
    <xf numFmtId="0" fontId="61" fillId="0" borderId="10" xfId="0" applyFont="1" applyFill="1" applyBorder="1" applyAlignment="1">
      <alignment horizontal="center" vertical="center"/>
    </xf>
    <xf numFmtId="0" fontId="61" fillId="0" borderId="8" xfId="0" applyFont="1" applyFill="1" applyBorder="1" applyAlignment="1">
      <alignment horizontal="center" vertical="center" wrapText="1"/>
    </xf>
    <xf numFmtId="0" fontId="61" fillId="0" borderId="10" xfId="0" applyFont="1" applyFill="1" applyBorder="1" applyAlignment="1">
      <alignment horizontal="center" vertical="center" wrapText="1"/>
    </xf>
    <xf numFmtId="0" fontId="61" fillId="0" borderId="11" xfId="0" applyFont="1" applyFill="1" applyBorder="1" applyAlignment="1">
      <alignment horizontal="center" vertical="center" wrapText="1"/>
    </xf>
    <xf numFmtId="0" fontId="61" fillId="0" borderId="12" xfId="0" applyFont="1" applyFill="1" applyBorder="1" applyAlignment="1">
      <alignment horizontal="center" vertical="center" wrapText="1"/>
    </xf>
    <xf numFmtId="0" fontId="61" fillId="0" borderId="59" xfId="0" applyFont="1" applyFill="1" applyBorder="1" applyAlignment="1">
      <alignment horizontal="center" vertical="center" wrapText="1"/>
    </xf>
    <xf numFmtId="0" fontId="61" fillId="0" borderId="30" xfId="0" applyFont="1" applyFill="1" applyBorder="1" applyAlignment="1">
      <alignment horizontal="center" vertical="center"/>
    </xf>
    <xf numFmtId="0" fontId="61" fillId="0" borderId="10" xfId="0" applyFont="1" applyFill="1" applyBorder="1"/>
    <xf numFmtId="0" fontId="61" fillId="0" borderId="1" xfId="0" applyFont="1" applyFill="1" applyBorder="1"/>
    <xf numFmtId="0" fontId="48" fillId="5" borderId="1" xfId="0" applyFont="1" applyFill="1" applyBorder="1" applyAlignment="1">
      <alignment horizontal="center"/>
    </xf>
    <xf numFmtId="0" fontId="61" fillId="16" borderId="1" xfId="0" applyFont="1" applyFill="1" applyBorder="1" applyAlignment="1">
      <alignment horizontal="center" vertical="center"/>
    </xf>
    <xf numFmtId="0" fontId="10" fillId="0" borderId="59" xfId="0" applyFont="1" applyFill="1" applyBorder="1" applyAlignment="1">
      <alignment horizontal="center" vertical="center" wrapText="1"/>
    </xf>
    <xf numFmtId="0" fontId="61" fillId="16" borderId="9" xfId="0" applyFont="1" applyFill="1" applyBorder="1" applyAlignment="1">
      <alignment horizontal="center" vertical="center"/>
    </xf>
    <xf numFmtId="0" fontId="85" fillId="16" borderId="9" xfId="0" applyFont="1" applyFill="1" applyBorder="1" applyAlignment="1">
      <alignment horizontal="center"/>
    </xf>
    <xf numFmtId="0" fontId="48" fillId="16" borderId="1" xfId="0" applyFont="1" applyFill="1" applyBorder="1" applyAlignment="1">
      <alignment horizontal="center"/>
    </xf>
    <xf numFmtId="0" fontId="48" fillId="16" borderId="10" xfId="0" applyFont="1" applyFill="1" applyBorder="1" applyAlignment="1">
      <alignment horizontal="center" wrapText="1"/>
    </xf>
    <xf numFmtId="0" fontId="61" fillId="16" borderId="10" xfId="0" applyFont="1" applyFill="1" applyBorder="1" applyAlignment="1">
      <alignment horizontal="center" vertical="center" wrapText="1"/>
    </xf>
    <xf numFmtId="0" fontId="48" fillId="16" borderId="1" xfId="0" applyFont="1" applyFill="1" applyBorder="1" applyAlignment="1">
      <alignment horizontal="center" vertical="center"/>
    </xf>
    <xf numFmtId="0" fontId="78" fillId="16" borderId="8" xfId="0" applyFont="1" applyFill="1" applyBorder="1" applyAlignment="1">
      <alignment horizontal="center" vertical="center"/>
    </xf>
    <xf numFmtId="0" fontId="85" fillId="16" borderId="1" xfId="0" applyFont="1" applyFill="1" applyBorder="1" applyAlignment="1">
      <alignment horizontal="center"/>
    </xf>
    <xf numFmtId="0" fontId="48" fillId="16" borderId="8" xfId="0" applyFont="1" applyFill="1" applyBorder="1" applyAlignment="1">
      <alignment horizontal="center" vertical="center"/>
    </xf>
    <xf numFmtId="0" fontId="78" fillId="16" borderId="8" xfId="0" applyFont="1" applyFill="1" applyBorder="1" applyAlignment="1" applyProtection="1">
      <alignment horizontal="center" vertical="center"/>
    </xf>
    <xf numFmtId="0" fontId="78" fillId="16" borderId="9" xfId="0" applyFont="1" applyFill="1" applyBorder="1" applyAlignment="1" applyProtection="1">
      <alignment horizontal="center" vertical="center"/>
    </xf>
    <xf numFmtId="0" fontId="78" fillId="16" borderId="1" xfId="0" applyFont="1" applyFill="1" applyBorder="1" applyAlignment="1" applyProtection="1">
      <alignment horizontal="center" vertical="center"/>
    </xf>
    <xf numFmtId="0" fontId="48" fillId="16" borderId="9" xfId="0" applyFont="1" applyFill="1" applyBorder="1" applyAlignment="1">
      <alignment horizontal="center"/>
    </xf>
    <xf numFmtId="0" fontId="61" fillId="16" borderId="8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60" fillId="16" borderId="1" xfId="0" applyFont="1" applyFill="1" applyBorder="1" applyAlignment="1">
      <alignment horizontal="center" vertical="center"/>
    </xf>
    <xf numFmtId="0" fontId="68" fillId="16" borderId="1" xfId="0" applyFont="1" applyFill="1" applyBorder="1" applyAlignment="1">
      <alignment horizontal="center" vertical="center"/>
    </xf>
    <xf numFmtId="14" fontId="31" fillId="0" borderId="1" xfId="0" applyNumberFormat="1" applyFont="1" applyFill="1" applyBorder="1" applyAlignment="1">
      <alignment horizontal="center" vertical="center" textRotation="90"/>
    </xf>
    <xf numFmtId="14" fontId="1" fillId="0" borderId="1" xfId="0" applyNumberFormat="1" applyFont="1" applyFill="1" applyBorder="1" applyAlignment="1">
      <alignment horizontal="center" vertical="center" textRotation="90" wrapText="1"/>
    </xf>
    <xf numFmtId="14" fontId="20" fillId="0" borderId="1" xfId="0" applyNumberFormat="1" applyFont="1" applyFill="1" applyBorder="1" applyAlignment="1">
      <alignment horizontal="center" vertical="center" textRotation="90" wrapText="1"/>
    </xf>
    <xf numFmtId="14" fontId="20" fillId="0" borderId="1" xfId="0" applyNumberFormat="1" applyFont="1" applyFill="1" applyBorder="1" applyAlignment="1">
      <alignment horizontal="center" vertical="center" textRotation="90"/>
    </xf>
    <xf numFmtId="0" fontId="11" fillId="16" borderId="1" xfId="0" applyFont="1" applyFill="1" applyBorder="1" applyAlignment="1">
      <alignment horizontal="center" vertical="center" textRotation="90" wrapText="1"/>
    </xf>
    <xf numFmtId="0" fontId="55" fillId="0" borderId="1" xfId="0" applyFont="1" applyFill="1" applyBorder="1" applyAlignment="1">
      <alignment horizontal="center" vertical="center" textRotation="90" wrapText="1"/>
    </xf>
    <xf numFmtId="0" fontId="31" fillId="0" borderId="1" xfId="0" applyFont="1" applyFill="1" applyBorder="1" applyAlignment="1">
      <alignment horizontal="center" vertical="center" textRotation="90" wrapText="1"/>
    </xf>
    <xf numFmtId="0" fontId="55" fillId="0" borderId="1" xfId="0" applyFont="1" applyFill="1" applyBorder="1" applyAlignment="1">
      <alignment horizontal="center" vertical="center" textRotation="90"/>
    </xf>
    <xf numFmtId="0" fontId="55" fillId="16" borderId="1" xfId="0" applyFont="1" applyFill="1" applyBorder="1" applyAlignment="1">
      <alignment horizontal="center" vertical="center" textRotation="90"/>
    </xf>
    <xf numFmtId="14" fontId="32" fillId="16" borderId="1" xfId="0" applyNumberFormat="1" applyFont="1" applyFill="1" applyBorder="1" applyAlignment="1">
      <alignment horizontal="center" vertical="center" textRotation="90"/>
    </xf>
    <xf numFmtId="0" fontId="61" fillId="11" borderId="8" xfId="0" applyFont="1" applyFill="1" applyBorder="1" applyAlignment="1">
      <alignment horizontal="center" vertical="center"/>
    </xf>
    <xf numFmtId="0" fontId="68" fillId="11" borderId="1" xfId="0" applyFont="1" applyFill="1" applyBorder="1" applyAlignment="1">
      <alignment horizontal="center" vertical="center"/>
    </xf>
    <xf numFmtId="0" fontId="61" fillId="11" borderId="1" xfId="0" applyFont="1" applyFill="1" applyBorder="1" applyAlignment="1">
      <alignment horizontal="center" vertical="center"/>
    </xf>
    <xf numFmtId="0" fontId="85" fillId="11" borderId="8" xfId="0" applyFont="1" applyFill="1" applyBorder="1" applyAlignment="1">
      <alignment horizontal="center"/>
    </xf>
    <xf numFmtId="0" fontId="48" fillId="11" borderId="9" xfId="0" applyFont="1" applyFill="1" applyBorder="1" applyAlignment="1">
      <alignment horizontal="center"/>
    </xf>
    <xf numFmtId="0" fontId="59" fillId="11" borderId="1" xfId="0" applyFont="1" applyFill="1" applyBorder="1" applyAlignment="1">
      <alignment horizontal="center" vertical="center"/>
    </xf>
    <xf numFmtId="0" fontId="48" fillId="11" borderId="1" xfId="0" applyFont="1" applyFill="1" applyBorder="1" applyAlignment="1">
      <alignment horizontal="center"/>
    </xf>
    <xf numFmtId="0" fontId="78" fillId="11" borderId="9" xfId="0" applyFont="1" applyFill="1" applyBorder="1" applyAlignment="1">
      <alignment horizontal="center" vertical="center"/>
    </xf>
    <xf numFmtId="0" fontId="48" fillId="11" borderId="1" xfId="0" applyFont="1" applyFill="1" applyBorder="1" applyAlignment="1">
      <alignment horizontal="center" vertical="center"/>
    </xf>
    <xf numFmtId="0" fontId="48" fillId="11" borderId="9" xfId="0" applyFont="1" applyFill="1" applyBorder="1" applyAlignment="1">
      <alignment horizontal="center" vertical="center"/>
    </xf>
    <xf numFmtId="0" fontId="60" fillId="11" borderId="1" xfId="0" applyFont="1" applyFill="1" applyBorder="1" applyAlignment="1">
      <alignment horizontal="center" vertical="center"/>
    </xf>
    <xf numFmtId="0" fontId="61" fillId="12" borderId="1" xfId="0" applyFont="1" applyFill="1" applyBorder="1" applyAlignment="1">
      <alignment horizontal="center" vertical="center"/>
    </xf>
    <xf numFmtId="0" fontId="86" fillId="16" borderId="1" xfId="0" applyFont="1" applyFill="1" applyBorder="1" applyAlignment="1">
      <alignment horizontal="center" vertical="center"/>
    </xf>
    <xf numFmtId="0" fontId="70" fillId="16" borderId="1" xfId="0" applyFont="1" applyFill="1" applyBorder="1" applyAlignment="1">
      <alignment horizontal="center" vertical="center"/>
    </xf>
    <xf numFmtId="0" fontId="9" fillId="16" borderId="2" xfId="0" applyFont="1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/>
    </xf>
    <xf numFmtId="0" fontId="70" fillId="16" borderId="10" xfId="0" applyFont="1" applyFill="1" applyBorder="1" applyAlignment="1">
      <alignment horizontal="center" vertical="center" wrapText="1"/>
    </xf>
    <xf numFmtId="0" fontId="48" fillId="16" borderId="9" xfId="0" applyFont="1" applyFill="1" applyBorder="1" applyAlignment="1">
      <alignment horizontal="center" vertical="center"/>
    </xf>
    <xf numFmtId="0" fontId="70" fillId="16" borderId="8" xfId="0" applyFont="1" applyFill="1" applyBorder="1" applyAlignment="1">
      <alignment horizontal="center" vertical="center"/>
    </xf>
    <xf numFmtId="0" fontId="70" fillId="16" borderId="9" xfId="0" applyFont="1" applyFill="1" applyBorder="1" applyAlignment="1">
      <alignment horizontal="center" vertical="center"/>
    </xf>
    <xf numFmtId="0" fontId="48" fillId="16" borderId="8" xfId="0" applyFont="1" applyFill="1" applyBorder="1" applyAlignment="1">
      <alignment horizontal="center"/>
    </xf>
    <xf numFmtId="0" fontId="85" fillId="16" borderId="8" xfId="0" applyFont="1" applyFill="1" applyBorder="1" applyAlignment="1">
      <alignment horizontal="center" vertical="center"/>
    </xf>
    <xf numFmtId="0" fontId="85" fillId="16" borderId="1" xfId="0" applyFont="1" applyFill="1" applyBorder="1" applyAlignment="1">
      <alignment horizontal="center" vertical="center"/>
    </xf>
    <xf numFmtId="0" fontId="60" fillId="16" borderId="9" xfId="0" applyFont="1" applyFill="1" applyBorder="1" applyAlignment="1">
      <alignment horizontal="center" vertical="center"/>
    </xf>
    <xf numFmtId="0" fontId="85" fillId="16" borderId="9" xfId="0" applyFont="1" applyFill="1" applyBorder="1" applyAlignment="1">
      <alignment horizontal="center" vertical="center"/>
    </xf>
    <xf numFmtId="0" fontId="59" fillId="16" borderId="9" xfId="0" applyFont="1" applyFill="1" applyBorder="1" applyAlignment="1">
      <alignment horizontal="center" vertical="center"/>
    </xf>
    <xf numFmtId="0" fontId="59" fillId="16" borderId="10" xfId="0" applyFont="1" applyFill="1" applyBorder="1" applyAlignment="1">
      <alignment horizontal="center" vertical="center" wrapText="1"/>
    </xf>
    <xf numFmtId="0" fontId="59" fillId="16" borderId="8" xfId="0" applyFont="1" applyFill="1" applyBorder="1" applyAlignment="1">
      <alignment horizontal="center" vertical="center"/>
    </xf>
    <xf numFmtId="0" fontId="61" fillId="16" borderId="1" xfId="0" applyFont="1" applyFill="1" applyBorder="1"/>
    <xf numFmtId="0" fontId="78" fillId="16" borderId="1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textRotation="90"/>
    </xf>
    <xf numFmtId="0" fontId="78" fillId="16" borderId="10" xfId="0" applyFont="1" applyFill="1" applyBorder="1" applyAlignment="1">
      <alignment horizontal="center" vertical="center" wrapText="1"/>
    </xf>
    <xf numFmtId="0" fontId="59" fillId="16" borderId="1" xfId="0" applyFont="1" applyFill="1" applyBorder="1" applyAlignment="1">
      <alignment horizontal="center" vertical="center"/>
    </xf>
    <xf numFmtId="0" fontId="68" fillId="16" borderId="9" xfId="0" applyFont="1" applyFill="1" applyBorder="1" applyAlignment="1">
      <alignment horizontal="center" vertical="center"/>
    </xf>
    <xf numFmtId="14" fontId="31" fillId="0" borderId="1" xfId="0" applyNumberFormat="1" applyFont="1" applyFill="1" applyBorder="1" applyAlignment="1">
      <alignment horizontal="center" vertical="center" textRotation="90" wrapText="1"/>
    </xf>
    <xf numFmtId="0" fontId="1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2" fillId="4" borderId="1" xfId="0" applyFont="1" applyFill="1" applyBorder="1" applyAlignment="1">
      <alignment vertical="center" wrapText="1"/>
    </xf>
    <xf numFmtId="0" fontId="100" fillId="0" borderId="1" xfId="0" applyFont="1" applyBorder="1" applyAlignment="1">
      <alignment horizontal="left" vertical="center" wrapText="1"/>
    </xf>
    <xf numFmtId="0" fontId="99" fillId="4" borderId="1" xfId="0" applyFont="1" applyFill="1" applyBorder="1" applyAlignment="1">
      <alignment vertical="center" wrapText="1"/>
    </xf>
    <xf numFmtId="0" fontId="102" fillId="0" borderId="1" xfId="0" applyFont="1" applyBorder="1" applyAlignment="1">
      <alignment horizontal="left" vertical="center" wrapText="1"/>
    </xf>
    <xf numFmtId="1" fontId="39" fillId="4" borderId="1" xfId="0" applyNumberFormat="1" applyFont="1" applyFill="1" applyBorder="1" applyAlignment="1">
      <alignment horizontal="center" vertical="center" wrapText="1"/>
    </xf>
    <xf numFmtId="1" fontId="21" fillId="4" borderId="23" xfId="0" applyNumberFormat="1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 wrapText="1"/>
    </xf>
    <xf numFmtId="0" fontId="94" fillId="3" borderId="1" xfId="0" applyFont="1" applyFill="1" applyBorder="1" applyAlignment="1">
      <alignment horizontal="center" vertical="center"/>
    </xf>
    <xf numFmtId="0" fontId="34" fillId="3" borderId="1" xfId="0" applyFont="1" applyFill="1" applyBorder="1"/>
    <xf numFmtId="0" fontId="0" fillId="0" borderId="30" xfId="0" applyBorder="1" applyAlignment="1">
      <alignment horizontal="center" vertical="center"/>
    </xf>
    <xf numFmtId="1" fontId="21" fillId="4" borderId="13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textRotation="90"/>
    </xf>
    <xf numFmtId="0" fontId="4" fillId="3" borderId="2" xfId="0" applyFont="1" applyFill="1" applyBorder="1" applyAlignment="1">
      <alignment horizontal="center" vertical="center" textRotation="90" wrapText="1"/>
    </xf>
    <xf numFmtId="0" fontId="33" fillId="3" borderId="10" xfId="0" applyFont="1" applyFill="1" applyBorder="1" applyAlignment="1">
      <alignment horizontal="center" vertical="center" textRotation="90" wrapText="1"/>
    </xf>
    <xf numFmtId="0" fontId="33" fillId="3" borderId="1" xfId="0" applyFont="1" applyFill="1" applyBorder="1" applyAlignment="1">
      <alignment horizontal="center" vertical="center" textRotation="90" wrapText="1"/>
    </xf>
    <xf numFmtId="0" fontId="4" fillId="3" borderId="1" xfId="0" applyFont="1" applyFill="1" applyBorder="1" applyAlignment="1">
      <alignment horizontal="center" vertical="center" textRotation="90" wrapText="1"/>
    </xf>
    <xf numFmtId="0" fontId="1" fillId="3" borderId="19" xfId="0" applyFont="1" applyFill="1" applyBorder="1" applyAlignment="1">
      <alignment horizontal="center" textRotation="90" wrapText="1"/>
    </xf>
    <xf numFmtId="0" fontId="33" fillId="3" borderId="19" xfId="0" applyFont="1" applyFill="1" applyBorder="1" applyAlignment="1">
      <alignment horizontal="center" vertical="center" textRotation="90" wrapText="1"/>
    </xf>
    <xf numFmtId="0" fontId="0" fillId="3" borderId="2" xfId="0" applyFill="1" applyBorder="1" applyAlignment="1">
      <alignment horizontal="center" vertical="center"/>
    </xf>
    <xf numFmtId="0" fontId="69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75" fillId="3" borderId="2" xfId="0" applyFont="1" applyFill="1" applyBorder="1" applyAlignment="1">
      <alignment horizontal="center" wrapText="1"/>
    </xf>
    <xf numFmtId="165" fontId="0" fillId="3" borderId="2" xfId="1" applyNumberFormat="1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vertical="center"/>
    </xf>
    <xf numFmtId="0" fontId="1" fillId="3" borderId="24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 vertical="center"/>
    </xf>
    <xf numFmtId="0" fontId="33" fillId="3" borderId="1" xfId="0" applyFont="1" applyFill="1" applyBorder="1" applyAlignment="1"/>
    <xf numFmtId="0" fontId="76" fillId="3" borderId="2" xfId="0" applyFont="1" applyFill="1" applyBorder="1" applyAlignment="1">
      <alignment horizontal="center" wrapText="1"/>
    </xf>
    <xf numFmtId="0" fontId="77" fillId="3" borderId="2" xfId="0" applyFont="1" applyFill="1" applyBorder="1" applyAlignment="1">
      <alignment horizontal="center" wrapText="1"/>
    </xf>
    <xf numFmtId="0" fontId="73" fillId="3" borderId="1" xfId="0" applyFont="1" applyFill="1" applyBorder="1" applyAlignment="1">
      <alignment horizontal="center" vertical="center"/>
    </xf>
    <xf numFmtId="0" fontId="74" fillId="3" borderId="1" xfId="0" applyFont="1" applyFill="1" applyBorder="1" applyAlignment="1">
      <alignment horizont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39" fillId="3" borderId="19" xfId="0" applyFont="1" applyFill="1" applyBorder="1" applyAlignment="1">
      <alignment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55" fillId="3" borderId="10" xfId="0" applyFont="1" applyFill="1" applyBorder="1" applyAlignment="1">
      <alignment horizontal="center" vertical="center" textRotation="90" wrapText="1"/>
    </xf>
    <xf numFmtId="0" fontId="104" fillId="3" borderId="10" xfId="0" applyFont="1" applyFill="1" applyBorder="1" applyAlignment="1">
      <alignment horizontal="center" vertical="center" textRotation="90" wrapText="1"/>
    </xf>
    <xf numFmtId="0" fontId="62" fillId="3" borderId="41" xfId="0" applyFont="1" applyFill="1" applyBorder="1" applyAlignment="1">
      <alignment horizontal="center" vertical="center"/>
    </xf>
    <xf numFmtId="0" fontId="38" fillId="3" borderId="41" xfId="0" applyFont="1" applyFill="1" applyBorder="1" applyAlignment="1">
      <alignment horizontal="center" vertical="center"/>
    </xf>
    <xf numFmtId="0" fontId="54" fillId="3" borderId="41" xfId="0" applyFont="1" applyFill="1" applyBorder="1" applyAlignment="1">
      <alignment horizontal="center"/>
    </xf>
    <xf numFmtId="0" fontId="38" fillId="3" borderId="41" xfId="0" applyFont="1" applyFill="1" applyBorder="1" applyAlignment="1">
      <alignment horizontal="center" vertical="center" wrapText="1"/>
    </xf>
    <xf numFmtId="0" fontId="38" fillId="0" borderId="34" xfId="0" applyFont="1" applyBorder="1" applyAlignment="1">
      <alignment horizontal="center" vertical="center"/>
    </xf>
    <xf numFmtId="0" fontId="38" fillId="0" borderId="35" xfId="0" applyFont="1" applyBorder="1" applyAlignment="1">
      <alignment horizontal="center" vertical="center"/>
    </xf>
    <xf numFmtId="0" fontId="62" fillId="3" borderId="40" xfId="0" applyFont="1" applyFill="1" applyBorder="1" applyAlignment="1">
      <alignment horizontal="center" vertical="center"/>
    </xf>
    <xf numFmtId="0" fontId="0" fillId="0" borderId="60" xfId="0" applyBorder="1"/>
    <xf numFmtId="0" fontId="38" fillId="0" borderId="66" xfId="0" applyFont="1" applyBorder="1" applyAlignment="1">
      <alignment horizontal="center" vertical="center"/>
    </xf>
    <xf numFmtId="0" fontId="38" fillId="0" borderId="37" xfId="0" applyFont="1" applyBorder="1" applyAlignment="1">
      <alignment horizontal="center" vertical="center"/>
    </xf>
    <xf numFmtId="14" fontId="4" fillId="0" borderId="40" xfId="0" applyNumberFormat="1" applyFont="1" applyBorder="1" applyAlignment="1">
      <alignment horizontal="center" vertical="center" textRotation="90"/>
    </xf>
    <xf numFmtId="14" fontId="4" fillId="0" borderId="41" xfId="0" applyNumberFormat="1" applyFont="1" applyBorder="1" applyAlignment="1">
      <alignment horizontal="center" vertical="center" textRotation="90"/>
    </xf>
    <xf numFmtId="14" fontId="45" fillId="3" borderId="41" xfId="0" applyNumberFormat="1" applyFont="1" applyFill="1" applyBorder="1" applyAlignment="1">
      <alignment horizontal="center" vertical="center" textRotation="90"/>
    </xf>
    <xf numFmtId="14" fontId="45" fillId="0" borderId="41" xfId="0" applyNumberFormat="1" applyFont="1" applyBorder="1" applyAlignment="1">
      <alignment horizontal="center" vertical="center" textRotation="90"/>
    </xf>
    <xf numFmtId="14" fontId="33" fillId="0" borderId="41" xfId="0" applyNumberFormat="1" applyFont="1" applyBorder="1" applyAlignment="1">
      <alignment horizontal="center" vertical="center" textRotation="90"/>
    </xf>
    <xf numFmtId="14" fontId="4" fillId="3" borderId="41" xfId="0" applyNumberFormat="1" applyFont="1" applyFill="1" applyBorder="1" applyAlignment="1">
      <alignment horizontal="center" vertical="center" textRotation="90"/>
    </xf>
    <xf numFmtId="0" fontId="55" fillId="0" borderId="41" xfId="0" applyFont="1" applyBorder="1" applyAlignment="1">
      <alignment vertical="center" textRotation="255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textRotation="90" wrapText="1"/>
    </xf>
    <xf numFmtId="0" fontId="47" fillId="10" borderId="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38" fillId="0" borderId="15" xfId="0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0" fontId="47" fillId="8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55" fillId="0" borderId="1" xfId="0" applyFont="1" applyBorder="1" applyAlignment="1">
      <alignment horizontal="center" vertical="center" textRotation="90" wrapText="1"/>
    </xf>
    <xf numFmtId="0" fontId="47" fillId="6" borderId="0" xfId="0" applyFont="1" applyFill="1" applyBorder="1" applyAlignment="1">
      <alignment horizontal="center" vertical="center"/>
    </xf>
    <xf numFmtId="0" fontId="47" fillId="7" borderId="0" xfId="0" applyFont="1" applyFill="1" applyBorder="1" applyAlignment="1">
      <alignment horizontal="center" vertical="center"/>
    </xf>
    <xf numFmtId="0" fontId="47" fillId="9" borderId="0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3" xfId="0" applyFont="1" applyFill="1" applyBorder="1" applyAlignment="1">
      <alignment horizontal="center" vertical="center"/>
    </xf>
    <xf numFmtId="0" fontId="3" fillId="0" borderId="64" xfId="0" applyFont="1" applyFill="1" applyBorder="1" applyAlignment="1">
      <alignment horizontal="center" vertical="center"/>
    </xf>
    <xf numFmtId="0" fontId="31" fillId="3" borderId="65" xfId="0" applyFont="1" applyFill="1" applyBorder="1" applyAlignment="1">
      <alignment horizontal="center" vertical="center" wrapText="1"/>
    </xf>
    <xf numFmtId="0" fontId="31" fillId="3" borderId="59" xfId="0" applyFont="1" applyFill="1" applyBorder="1" applyAlignment="1">
      <alignment horizontal="center" vertical="center" wrapText="1"/>
    </xf>
    <xf numFmtId="0" fontId="31" fillId="0" borderId="28" xfId="0" applyFont="1" applyBorder="1" applyAlignment="1">
      <alignment horizontal="center" vertical="center" textRotation="90" wrapText="1"/>
    </xf>
    <xf numFmtId="0" fontId="31" fillId="0" borderId="33" xfId="0" applyFont="1" applyBorder="1" applyAlignment="1">
      <alignment horizontal="center" vertical="center" textRotation="90" wrapText="1"/>
    </xf>
    <xf numFmtId="0" fontId="106" fillId="0" borderId="5" xfId="0" applyFont="1" applyBorder="1" applyAlignment="1">
      <alignment horizontal="center" vertical="center" wrapText="1"/>
    </xf>
    <xf numFmtId="0" fontId="106" fillId="0" borderId="63" xfId="0" applyFont="1" applyBorder="1" applyAlignment="1">
      <alignment horizontal="center" vertical="center" wrapText="1"/>
    </xf>
    <xf numFmtId="0" fontId="106" fillId="0" borderId="64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textRotation="255"/>
    </xf>
    <xf numFmtId="0" fontId="27" fillId="0" borderId="16" xfId="0" applyFont="1" applyBorder="1" applyAlignment="1">
      <alignment horizontal="center" vertical="center" textRotation="255"/>
    </xf>
    <xf numFmtId="0" fontId="3" fillId="0" borderId="28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1" fillId="0" borderId="61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textRotation="255"/>
    </xf>
    <xf numFmtId="0" fontId="18" fillId="0" borderId="16" xfId="0" applyFont="1" applyBorder="1" applyAlignment="1">
      <alignment horizontal="center" vertical="center" textRotation="255"/>
    </xf>
    <xf numFmtId="0" fontId="105" fillId="4" borderId="17" xfId="0" applyFont="1" applyFill="1" applyBorder="1" applyAlignment="1">
      <alignment horizontal="center" vertical="center" wrapText="1"/>
    </xf>
    <xf numFmtId="0" fontId="105" fillId="4" borderId="57" xfId="0" applyFont="1" applyFill="1" applyBorder="1" applyAlignment="1">
      <alignment horizontal="center" vertical="center" wrapText="1"/>
    </xf>
    <xf numFmtId="0" fontId="105" fillId="4" borderId="6" xfId="0" applyFont="1" applyFill="1" applyBorder="1" applyAlignment="1">
      <alignment horizontal="center" vertical="center" wrapText="1"/>
    </xf>
    <xf numFmtId="0" fontId="61" fillId="0" borderId="17" xfId="0" applyFont="1" applyBorder="1" applyAlignment="1">
      <alignment vertical="center"/>
    </xf>
    <xf numFmtId="0" fontId="61" fillId="0" borderId="57" xfId="0" applyFont="1" applyBorder="1" applyAlignment="1">
      <alignment vertical="center"/>
    </xf>
    <xf numFmtId="0" fontId="61" fillId="0" borderId="58" xfId="0" applyFont="1" applyBorder="1" applyAlignment="1">
      <alignment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textRotation="90" wrapText="1"/>
    </xf>
    <xf numFmtId="0" fontId="18" fillId="0" borderId="16" xfId="0" applyFont="1" applyBorder="1" applyAlignment="1">
      <alignment horizontal="center" vertical="center" textRotation="90" wrapText="1"/>
    </xf>
    <xf numFmtId="0" fontId="28" fillId="0" borderId="0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8" fillId="0" borderId="0" xfId="0" applyFont="1" applyBorder="1" applyAlignment="1">
      <alignment horizontal="center"/>
    </xf>
    <xf numFmtId="0" fontId="17" fillId="3" borderId="2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7" fillId="0" borderId="0" xfId="0" applyFont="1" applyBorder="1" applyAlignment="1">
      <alignment horizontal="center" wrapText="1"/>
    </xf>
    <xf numFmtId="0" fontId="29" fillId="0" borderId="32" xfId="0" applyFont="1" applyBorder="1" applyAlignment="1">
      <alignment horizontal="center"/>
    </xf>
    <xf numFmtId="0" fontId="33" fillId="3" borderId="2" xfId="0" applyFont="1" applyFill="1" applyBorder="1" applyAlignment="1">
      <alignment horizontal="center" vertical="center" textRotation="90" wrapText="1"/>
    </xf>
    <xf numFmtId="0" fontId="33" fillId="3" borderId="10" xfId="0" applyFont="1" applyFill="1" applyBorder="1" applyAlignment="1">
      <alignment horizontal="center" vertical="center" textRotation="90" wrapText="1"/>
    </xf>
    <xf numFmtId="0" fontId="33" fillId="3" borderId="11" xfId="0" applyFont="1" applyFill="1" applyBorder="1" applyAlignment="1">
      <alignment horizontal="center" vertical="center" textRotation="90" wrapText="1"/>
    </xf>
    <xf numFmtId="0" fontId="28" fillId="0" borderId="0" xfId="0" applyFont="1" applyBorder="1" applyAlignment="1">
      <alignment horizontal="center" wrapText="1"/>
    </xf>
    <xf numFmtId="0" fontId="36" fillId="0" borderId="1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7" fillId="0" borderId="30" xfId="0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3" xfId="0" applyBorder="1" applyAlignment="1">
      <alignment horizontal="center"/>
    </xf>
    <xf numFmtId="0" fontId="37" fillId="0" borderId="9" xfId="0" applyFont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37" fillId="0" borderId="4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15" fillId="0" borderId="30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37" fillId="0" borderId="0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28" fillId="3" borderId="30" xfId="0" applyFont="1" applyFill="1" applyBorder="1" applyAlignment="1">
      <alignment horizontal="center" vertical="center"/>
    </xf>
    <xf numFmtId="0" fontId="28" fillId="3" borderId="9" xfId="0" applyFont="1" applyFill="1" applyBorder="1" applyAlignment="1">
      <alignment horizontal="center" vertical="center"/>
    </xf>
    <xf numFmtId="0" fontId="28" fillId="3" borderId="39" xfId="0" applyFont="1" applyFill="1" applyBorder="1" applyAlignment="1">
      <alignment horizontal="center" vertical="center"/>
    </xf>
    <xf numFmtId="0" fontId="28" fillId="3" borderId="38" xfId="0" applyFont="1" applyFill="1" applyBorder="1" applyAlignment="1">
      <alignment horizontal="center" vertical="center"/>
    </xf>
    <xf numFmtId="0" fontId="28" fillId="3" borderId="19" xfId="0" applyFont="1" applyFill="1" applyBorder="1" applyAlignment="1">
      <alignment horizontal="center" vertical="center"/>
    </xf>
    <xf numFmtId="0" fontId="28" fillId="3" borderId="44" xfId="0" applyFont="1" applyFill="1" applyBorder="1" applyAlignment="1">
      <alignment horizontal="center" vertical="center"/>
    </xf>
    <xf numFmtId="0" fontId="1" fillId="3" borderId="49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0" fontId="1" fillId="3" borderId="49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center" vertical="center"/>
    </xf>
    <xf numFmtId="0" fontId="28" fillId="3" borderId="36" xfId="0" applyFont="1" applyFill="1" applyBorder="1" applyAlignment="1">
      <alignment horizontal="center" vertical="center"/>
    </xf>
    <xf numFmtId="0" fontId="28" fillId="3" borderId="43" xfId="0" applyFont="1" applyFill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4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8" fillId="3" borderId="42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28" fillId="0" borderId="42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37" fillId="0" borderId="41" xfId="0" applyFont="1" applyBorder="1" applyAlignment="1">
      <alignment horizontal="center" vertical="center"/>
    </xf>
    <xf numFmtId="0" fontId="37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37" fillId="0" borderId="35" xfId="0" applyFont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37" fillId="0" borderId="29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37" fillId="0" borderId="30" xfId="0" applyFont="1" applyBorder="1" applyAlignment="1">
      <alignment horizontal="left" vertical="center"/>
    </xf>
    <xf numFmtId="0" fontId="37" fillId="0" borderId="9" xfId="0" applyFont="1" applyBorder="1" applyAlignment="1">
      <alignment horizontal="left" vertical="center"/>
    </xf>
    <xf numFmtId="0" fontId="37" fillId="0" borderId="1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07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07" fillId="3" borderId="19" xfId="0" applyFont="1" applyFill="1" applyBorder="1" applyAlignment="1">
      <alignment horizontal="left" vertical="center" wrapText="1"/>
    </xf>
    <xf numFmtId="0" fontId="107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D749B2"/>
      <color rgb="FF66FF66"/>
      <color rgb="FF68FA26"/>
      <color rgb="FFFF6600"/>
      <color rgb="FFC42CB6"/>
      <color rgb="FF40D2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R114"/>
  <sheetViews>
    <sheetView tabSelected="1" topLeftCell="A58" zoomScaleNormal="100" workbookViewId="0">
      <selection activeCell="AS80" sqref="AS80"/>
    </sheetView>
  </sheetViews>
  <sheetFormatPr baseColWidth="10" defaultRowHeight="14.4" x14ac:dyDescent="0.3"/>
  <cols>
    <col min="1" max="1" width="3.21875" customWidth="1"/>
    <col min="2" max="2" width="15.44140625" style="73" customWidth="1"/>
    <col min="3" max="3" width="3.6640625" style="51" customWidth="1"/>
    <col min="4" max="21" width="2.33203125" style="51" customWidth="1"/>
    <col min="22" max="22" width="3.109375" customWidth="1"/>
    <col min="23" max="23" width="15.44140625" style="73" customWidth="1"/>
    <col min="24" max="24" width="3.6640625" style="51" customWidth="1"/>
    <col min="25" max="42" width="2.33203125" style="51" customWidth="1"/>
  </cols>
  <sheetData>
    <row r="1" spans="1:44" ht="21" x14ac:dyDescent="0.3">
      <c r="A1" s="757" t="s">
        <v>48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7"/>
      <c r="N1" s="757"/>
      <c r="O1" s="757"/>
      <c r="P1" s="757"/>
      <c r="Q1" s="757"/>
      <c r="R1" s="757"/>
      <c r="S1" s="757"/>
      <c r="T1" s="757"/>
      <c r="U1" s="757"/>
      <c r="V1" s="757"/>
      <c r="W1" s="757"/>
      <c r="X1" s="757"/>
      <c r="Y1" s="757"/>
      <c r="Z1" s="757"/>
      <c r="AA1" s="757"/>
      <c r="AB1" s="757"/>
      <c r="AC1" s="757"/>
      <c r="AD1" s="757"/>
      <c r="AE1" s="757"/>
      <c r="AF1" s="757"/>
      <c r="AG1" s="757"/>
      <c r="AH1" s="757"/>
      <c r="AI1" s="757"/>
      <c r="AJ1" s="757"/>
      <c r="AK1" s="757"/>
      <c r="AL1" s="757"/>
      <c r="AM1" s="757"/>
      <c r="AN1" s="757"/>
      <c r="AO1" s="757"/>
      <c r="AP1" s="757"/>
    </row>
    <row r="2" spans="1:44" ht="16.2" customHeight="1" x14ac:dyDescent="0.3">
      <c r="A2" s="758" t="s">
        <v>34</v>
      </c>
      <c r="B2" s="759"/>
      <c r="C2" s="770" t="s">
        <v>1</v>
      </c>
      <c r="D2" s="768" t="s">
        <v>2</v>
      </c>
      <c r="E2" s="768"/>
      <c r="F2" s="768"/>
      <c r="G2" s="768"/>
      <c r="H2" s="768"/>
      <c r="I2" s="768"/>
      <c r="J2" s="768"/>
      <c r="K2" s="768"/>
      <c r="L2" s="768"/>
      <c r="M2" s="768"/>
      <c r="N2" s="768"/>
      <c r="O2" s="768"/>
      <c r="P2" s="768"/>
      <c r="Q2" s="768"/>
      <c r="R2" s="768"/>
      <c r="S2" s="768"/>
      <c r="T2" s="768"/>
      <c r="U2" s="768"/>
      <c r="V2" s="762" t="s">
        <v>34</v>
      </c>
      <c r="W2" s="759"/>
      <c r="X2" s="770" t="s">
        <v>1</v>
      </c>
      <c r="Y2" s="768" t="s">
        <v>2</v>
      </c>
      <c r="Z2" s="768"/>
      <c r="AA2" s="768"/>
      <c r="AB2" s="768"/>
      <c r="AC2" s="768"/>
      <c r="AD2" s="768"/>
      <c r="AE2" s="768"/>
      <c r="AF2" s="768"/>
      <c r="AG2" s="768"/>
      <c r="AH2" s="768"/>
      <c r="AI2" s="768"/>
      <c r="AJ2" s="768"/>
      <c r="AK2" s="768"/>
      <c r="AL2" s="768"/>
      <c r="AM2" s="768"/>
      <c r="AN2" s="768"/>
      <c r="AO2" s="768"/>
      <c r="AP2" s="769"/>
    </row>
    <row r="3" spans="1:44" ht="12" customHeight="1" x14ac:dyDescent="0.3">
      <c r="A3" s="758"/>
      <c r="B3" s="759"/>
      <c r="C3" s="770"/>
      <c r="D3" s="70">
        <v>1</v>
      </c>
      <c r="E3" s="69">
        <v>2</v>
      </c>
      <c r="F3" s="69">
        <v>3</v>
      </c>
      <c r="G3" s="69">
        <v>4</v>
      </c>
      <c r="H3" s="69">
        <v>5</v>
      </c>
      <c r="I3" s="69">
        <v>6</v>
      </c>
      <c r="J3" s="69">
        <v>7</v>
      </c>
      <c r="K3" s="69">
        <v>8</v>
      </c>
      <c r="L3" s="69">
        <v>9</v>
      </c>
      <c r="M3" s="69">
        <v>10</v>
      </c>
      <c r="N3" s="69">
        <v>11</v>
      </c>
      <c r="O3" s="69">
        <v>12</v>
      </c>
      <c r="P3" s="69">
        <v>13</v>
      </c>
      <c r="Q3" s="69">
        <v>14</v>
      </c>
      <c r="R3" s="69">
        <v>15</v>
      </c>
      <c r="S3" s="69">
        <v>16</v>
      </c>
      <c r="T3" s="69">
        <v>17</v>
      </c>
      <c r="U3" s="69">
        <v>18</v>
      </c>
      <c r="V3" s="762"/>
      <c r="W3" s="759"/>
      <c r="X3" s="770"/>
      <c r="Y3" s="70">
        <v>1</v>
      </c>
      <c r="Z3" s="69">
        <v>2</v>
      </c>
      <c r="AA3" s="69">
        <v>3</v>
      </c>
      <c r="AB3" s="69">
        <v>4</v>
      </c>
      <c r="AC3" s="69">
        <v>5</v>
      </c>
      <c r="AD3" s="69">
        <v>6</v>
      </c>
      <c r="AE3" s="69">
        <v>7</v>
      </c>
      <c r="AF3" s="69">
        <v>8</v>
      </c>
      <c r="AG3" s="69">
        <v>9</v>
      </c>
      <c r="AH3" s="69">
        <v>10</v>
      </c>
      <c r="AI3" s="69">
        <v>11</v>
      </c>
      <c r="AJ3" s="72">
        <v>12</v>
      </c>
      <c r="AK3" s="72">
        <v>13</v>
      </c>
      <c r="AL3" s="72">
        <v>14</v>
      </c>
      <c r="AM3" s="72">
        <v>15</v>
      </c>
      <c r="AN3" s="72">
        <v>16</v>
      </c>
      <c r="AO3" s="72">
        <v>17</v>
      </c>
      <c r="AP3" s="72">
        <v>18</v>
      </c>
    </row>
    <row r="4" spans="1:44" ht="101.4" customHeight="1" x14ac:dyDescent="0.3">
      <c r="A4" s="758"/>
      <c r="B4" s="759"/>
      <c r="C4" s="770"/>
      <c r="D4" s="738"/>
      <c r="E4" s="96"/>
      <c r="F4" s="96"/>
      <c r="G4" s="134"/>
      <c r="H4" s="557"/>
      <c r="I4" s="135"/>
      <c r="J4" s="96"/>
      <c r="K4" s="134"/>
      <c r="L4" s="96"/>
      <c r="M4" s="96"/>
      <c r="N4" s="96"/>
      <c r="O4" s="148"/>
      <c r="P4" s="149"/>
      <c r="Q4" s="150"/>
      <c r="R4" s="151"/>
      <c r="S4" s="151"/>
      <c r="T4" s="94"/>
      <c r="U4" s="94"/>
      <c r="V4" s="762"/>
      <c r="W4" s="759"/>
      <c r="X4" s="770"/>
      <c r="Y4" s="738"/>
      <c r="Z4" s="96"/>
      <c r="AA4" s="96"/>
      <c r="AB4" s="134"/>
      <c r="AC4" s="557"/>
      <c r="AD4" s="135"/>
      <c r="AE4" s="96"/>
      <c r="AF4" s="134"/>
      <c r="AG4" s="96"/>
      <c r="AH4" s="96"/>
      <c r="AI4" s="96"/>
      <c r="AJ4" s="148"/>
      <c r="AK4" s="149"/>
      <c r="AL4" s="150"/>
      <c r="AM4" s="151"/>
      <c r="AN4" s="151"/>
      <c r="AO4" s="94"/>
      <c r="AP4" s="94"/>
    </row>
    <row r="5" spans="1:44" ht="17.399999999999999" customHeight="1" x14ac:dyDescent="0.3">
      <c r="A5" s="1">
        <v>1</v>
      </c>
      <c r="B5" s="910" t="s">
        <v>506</v>
      </c>
      <c r="C5" s="699">
        <f>((D5+E5+F5+G5+H5+I5+J5+K5+L5+M5+N5+O5+P5+Q5+R5+S5)/16)</f>
        <v>0</v>
      </c>
      <c r="D5" s="157"/>
      <c r="E5" s="156"/>
      <c r="F5" s="156"/>
      <c r="G5" s="157"/>
      <c r="H5" s="157"/>
      <c r="I5" s="157"/>
      <c r="J5" s="157"/>
      <c r="K5" s="156"/>
      <c r="L5" s="156"/>
      <c r="M5" s="157"/>
      <c r="N5" s="157"/>
      <c r="O5" s="156"/>
      <c r="P5" s="157"/>
      <c r="Q5" s="157"/>
      <c r="R5" s="156"/>
      <c r="S5" s="156"/>
      <c r="T5" s="114"/>
      <c r="U5" s="114"/>
      <c r="V5" s="2">
        <v>16</v>
      </c>
      <c r="W5" s="910" t="s">
        <v>492</v>
      </c>
      <c r="X5" s="699">
        <f>((Y5+Z5+AA5+AB5+AC5+AD5+AE5+AF5+AG5+AH5+AI5+AJ5+AK5+AL5+AM5+AN5)/16)</f>
        <v>0</v>
      </c>
      <c r="Y5" s="737"/>
      <c r="Z5" s="156"/>
      <c r="AA5" s="156"/>
      <c r="AB5" s="157"/>
      <c r="AC5" s="156"/>
      <c r="AD5" s="156"/>
      <c r="AE5" s="156"/>
      <c r="AF5" s="156"/>
      <c r="AG5" s="156"/>
      <c r="AH5" s="156"/>
      <c r="AI5" s="157"/>
      <c r="AJ5" s="157"/>
      <c r="AK5" s="157"/>
      <c r="AL5" s="157"/>
      <c r="AM5" s="156"/>
      <c r="AN5" s="156"/>
      <c r="AO5" s="116"/>
      <c r="AP5" s="116"/>
    </row>
    <row r="6" spans="1:44" ht="17.399999999999999" customHeight="1" x14ac:dyDescent="0.3">
      <c r="A6" s="1">
        <v>2</v>
      </c>
      <c r="B6" s="910" t="s">
        <v>507</v>
      </c>
      <c r="C6" s="699">
        <f t="shared" ref="C6:C18" si="0">((D6+E6+F6+G6+H6+I6+J6+K6+L6+M6+N6+O6+P6+Q6+R6+S6)/16)</f>
        <v>0</v>
      </c>
      <c r="D6" s="156"/>
      <c r="E6" s="156"/>
      <c r="F6" s="156"/>
      <c r="G6" s="156"/>
      <c r="H6" s="156"/>
      <c r="I6" s="156"/>
      <c r="J6" s="157"/>
      <c r="K6" s="156"/>
      <c r="L6" s="156"/>
      <c r="M6" s="156"/>
      <c r="N6" s="156"/>
      <c r="O6" s="156"/>
      <c r="P6" s="156"/>
      <c r="Q6" s="157"/>
      <c r="R6" s="156"/>
      <c r="S6" s="156"/>
      <c r="T6" s="114"/>
      <c r="U6" s="114"/>
      <c r="V6" s="2">
        <v>17</v>
      </c>
      <c r="W6" s="910" t="s">
        <v>493</v>
      </c>
      <c r="X6" s="699">
        <f t="shared" ref="X6:X19" si="1">((Y6+Z6+AA6+AB6+AC6+AD6+AE6+AF6+AG6+AH6+AI6+AJ6+AK6+AL6+AM6+AN6)/16)</f>
        <v>0</v>
      </c>
      <c r="Y6" s="737"/>
      <c r="Z6" s="156"/>
      <c r="AA6" s="156"/>
      <c r="AB6" s="156"/>
      <c r="AC6" s="156"/>
      <c r="AD6" s="156"/>
      <c r="AE6" s="156"/>
      <c r="AF6" s="157"/>
      <c r="AG6" s="156"/>
      <c r="AH6" s="156"/>
      <c r="AI6" s="157"/>
      <c r="AJ6" s="157"/>
      <c r="AK6" s="156"/>
      <c r="AL6" s="157"/>
      <c r="AM6" s="156"/>
      <c r="AN6" s="156"/>
      <c r="AO6" s="116"/>
      <c r="AP6" s="116"/>
      <c r="AQ6" s="119"/>
    </row>
    <row r="7" spans="1:44" ht="17.399999999999999" customHeight="1" x14ac:dyDescent="0.3">
      <c r="A7" s="1">
        <v>3</v>
      </c>
      <c r="B7" s="910" t="s">
        <v>508</v>
      </c>
      <c r="C7" s="699">
        <f t="shared" si="0"/>
        <v>0</v>
      </c>
      <c r="D7" s="156"/>
      <c r="E7" s="156"/>
      <c r="F7" s="156"/>
      <c r="G7" s="157"/>
      <c r="H7" s="156"/>
      <c r="I7" s="156"/>
      <c r="J7" s="156"/>
      <c r="K7" s="156"/>
      <c r="L7" s="156"/>
      <c r="M7" s="157"/>
      <c r="N7" s="157"/>
      <c r="O7" s="157"/>
      <c r="P7" s="156"/>
      <c r="Q7" s="157"/>
      <c r="R7" s="156"/>
      <c r="S7" s="156"/>
      <c r="T7" s="114"/>
      <c r="U7" s="114"/>
      <c r="V7" s="1">
        <v>18</v>
      </c>
      <c r="W7" s="912" t="s">
        <v>494</v>
      </c>
      <c r="X7" s="699">
        <f t="shared" si="1"/>
        <v>0</v>
      </c>
      <c r="Y7" s="737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6"/>
      <c r="AK7" s="156"/>
      <c r="AL7" s="157"/>
      <c r="AM7" s="156"/>
      <c r="AN7" s="156"/>
      <c r="AO7" s="116"/>
      <c r="AP7" s="116"/>
      <c r="AQ7" s="119"/>
    </row>
    <row r="8" spans="1:44" ht="17.399999999999999" customHeight="1" x14ac:dyDescent="0.3">
      <c r="A8" s="1">
        <v>4</v>
      </c>
      <c r="B8" s="910" t="s">
        <v>509</v>
      </c>
      <c r="C8" s="699">
        <f t="shared" si="0"/>
        <v>0</v>
      </c>
      <c r="D8" s="156"/>
      <c r="E8" s="156"/>
      <c r="F8" s="156"/>
      <c r="G8" s="156"/>
      <c r="H8" s="156"/>
      <c r="I8" s="156"/>
      <c r="J8" s="156"/>
      <c r="K8" s="156"/>
      <c r="L8" s="156"/>
      <c r="M8" s="158"/>
      <c r="N8" s="182"/>
      <c r="O8" s="158"/>
      <c r="P8" s="158"/>
      <c r="Q8" s="182"/>
      <c r="R8" s="158"/>
      <c r="S8" s="158"/>
      <c r="T8" s="115"/>
      <c r="U8" s="115"/>
      <c r="V8" s="2">
        <v>19</v>
      </c>
      <c r="W8" s="910" t="s">
        <v>495</v>
      </c>
      <c r="X8" s="699">
        <f t="shared" si="1"/>
        <v>0</v>
      </c>
      <c r="Y8" s="737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8"/>
      <c r="AK8" s="156"/>
      <c r="AL8" s="157"/>
      <c r="AM8" s="156"/>
      <c r="AN8" s="156"/>
      <c r="AO8" s="116"/>
      <c r="AP8" s="116"/>
      <c r="AQ8" s="119"/>
    </row>
    <row r="9" spans="1:44" ht="17.399999999999999" customHeight="1" x14ac:dyDescent="0.3">
      <c r="A9" s="1">
        <v>5</v>
      </c>
      <c r="B9" s="910" t="s">
        <v>510</v>
      </c>
      <c r="C9" s="699">
        <f t="shared" si="0"/>
        <v>0</v>
      </c>
      <c r="D9" s="156"/>
      <c r="E9" s="159"/>
      <c r="F9" s="156"/>
      <c r="G9" s="156"/>
      <c r="H9" s="156"/>
      <c r="I9" s="156"/>
      <c r="J9" s="156"/>
      <c r="K9" s="156"/>
      <c r="L9" s="156"/>
      <c r="M9" s="157"/>
      <c r="N9" s="156"/>
      <c r="O9" s="157"/>
      <c r="P9" s="156"/>
      <c r="Q9" s="157"/>
      <c r="R9" s="156"/>
      <c r="S9" s="156"/>
      <c r="T9" s="114"/>
      <c r="U9" s="114"/>
      <c r="V9" s="2">
        <v>20</v>
      </c>
      <c r="W9" s="910" t="s">
        <v>496</v>
      </c>
      <c r="X9" s="699">
        <f t="shared" si="1"/>
        <v>0</v>
      </c>
      <c r="Y9" s="737"/>
      <c r="Z9" s="157"/>
      <c r="AA9" s="156"/>
      <c r="AB9" s="156"/>
      <c r="AC9" s="157"/>
      <c r="AD9" s="156"/>
      <c r="AE9" s="157"/>
      <c r="AF9" s="157"/>
      <c r="AG9" s="157"/>
      <c r="AH9" s="156"/>
      <c r="AI9" s="156"/>
      <c r="AJ9" s="156"/>
      <c r="AK9" s="156"/>
      <c r="AL9" s="157"/>
      <c r="AM9" s="156"/>
      <c r="AN9" s="156"/>
      <c r="AO9" s="116"/>
      <c r="AP9" s="116"/>
      <c r="AQ9" s="119"/>
    </row>
    <row r="10" spans="1:44" ht="17.399999999999999" customHeight="1" x14ac:dyDescent="0.3">
      <c r="A10" s="1">
        <v>6</v>
      </c>
      <c r="B10" s="910" t="s">
        <v>511</v>
      </c>
      <c r="C10" s="699">
        <f t="shared" si="0"/>
        <v>0</v>
      </c>
      <c r="D10" s="156"/>
      <c r="E10" s="159"/>
      <c r="F10" s="156"/>
      <c r="G10" s="156"/>
      <c r="H10" s="156"/>
      <c r="I10" s="156"/>
      <c r="J10" s="156"/>
      <c r="K10" s="156"/>
      <c r="L10" s="156"/>
      <c r="M10" s="156"/>
      <c r="N10" s="157"/>
      <c r="O10" s="157"/>
      <c r="P10" s="156"/>
      <c r="Q10" s="157"/>
      <c r="R10" s="156"/>
      <c r="S10" s="156"/>
      <c r="T10" s="114"/>
      <c r="U10" s="114"/>
      <c r="V10" s="1">
        <v>21</v>
      </c>
      <c r="W10" s="910" t="s">
        <v>497</v>
      </c>
      <c r="X10" s="699">
        <f t="shared" si="1"/>
        <v>0</v>
      </c>
      <c r="Y10" s="737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7"/>
      <c r="AM10" s="156"/>
      <c r="AN10" s="156"/>
      <c r="AO10" s="116"/>
      <c r="AP10" s="116"/>
    </row>
    <row r="11" spans="1:44" ht="17.399999999999999" customHeight="1" x14ac:dyDescent="0.3">
      <c r="A11" s="1">
        <v>7</v>
      </c>
      <c r="B11" s="910" t="s">
        <v>512</v>
      </c>
      <c r="C11" s="699">
        <f t="shared" si="0"/>
        <v>0</v>
      </c>
      <c r="D11" s="156"/>
      <c r="E11" s="156"/>
      <c r="F11" s="157"/>
      <c r="G11" s="156"/>
      <c r="H11" s="156"/>
      <c r="I11" s="156"/>
      <c r="J11" s="156"/>
      <c r="K11" s="157"/>
      <c r="L11" s="156"/>
      <c r="M11" s="156"/>
      <c r="N11" s="157"/>
      <c r="O11" s="157"/>
      <c r="P11" s="156"/>
      <c r="Q11" s="157"/>
      <c r="R11" s="156"/>
      <c r="S11" s="156"/>
      <c r="T11" s="114"/>
      <c r="U11" s="114"/>
      <c r="V11" s="2">
        <v>22</v>
      </c>
      <c r="W11" s="910" t="s">
        <v>498</v>
      </c>
      <c r="X11" s="699">
        <f t="shared" si="1"/>
        <v>0</v>
      </c>
      <c r="Y11" s="737"/>
      <c r="Z11" s="156"/>
      <c r="AA11" s="156"/>
      <c r="AB11" s="156"/>
      <c r="AC11" s="156"/>
      <c r="AD11" s="156"/>
      <c r="AE11" s="157"/>
      <c r="AF11" s="156"/>
      <c r="AG11" s="156"/>
      <c r="AH11" s="156"/>
      <c r="AI11" s="157"/>
      <c r="AJ11" s="157"/>
      <c r="AK11" s="157"/>
      <c r="AL11" s="157"/>
      <c r="AM11" s="156"/>
      <c r="AN11" s="156"/>
      <c r="AO11" s="116"/>
      <c r="AP11" s="116"/>
      <c r="AR11" s="181"/>
    </row>
    <row r="12" spans="1:44" ht="17.399999999999999" customHeight="1" x14ac:dyDescent="0.3">
      <c r="A12" s="1">
        <v>8</v>
      </c>
      <c r="B12" s="910" t="s">
        <v>513</v>
      </c>
      <c r="C12" s="699">
        <f t="shared" si="0"/>
        <v>0</v>
      </c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7"/>
      <c r="R12" s="156"/>
      <c r="S12" s="156"/>
      <c r="T12" s="114"/>
      <c r="U12" s="114"/>
      <c r="V12" s="2">
        <v>23</v>
      </c>
      <c r="W12" s="910" t="s">
        <v>499</v>
      </c>
      <c r="X12" s="699">
        <f t="shared" si="1"/>
        <v>0</v>
      </c>
      <c r="Y12" s="737"/>
      <c r="Z12" s="156"/>
      <c r="AA12" s="156"/>
      <c r="AB12" s="157"/>
      <c r="AC12" s="156"/>
      <c r="AD12" s="156"/>
      <c r="AE12" s="156"/>
      <c r="AF12" s="157"/>
      <c r="AG12" s="156"/>
      <c r="AH12" s="156"/>
      <c r="AI12" s="156"/>
      <c r="AJ12" s="156"/>
      <c r="AK12" s="156"/>
      <c r="AL12" s="157"/>
      <c r="AM12" s="156"/>
      <c r="AN12" s="156"/>
      <c r="AO12" s="116"/>
      <c r="AP12" s="116"/>
    </row>
    <row r="13" spans="1:44" ht="17.399999999999999" customHeight="1" x14ac:dyDescent="0.3">
      <c r="A13" s="1">
        <v>9</v>
      </c>
      <c r="B13" s="910" t="s">
        <v>514</v>
      </c>
      <c r="C13" s="699">
        <f t="shared" si="0"/>
        <v>0</v>
      </c>
      <c r="D13" s="156"/>
      <c r="E13" s="156"/>
      <c r="F13" s="156"/>
      <c r="G13" s="156"/>
      <c r="H13" s="159"/>
      <c r="I13" s="156"/>
      <c r="J13" s="156"/>
      <c r="K13" s="156"/>
      <c r="L13" s="156"/>
      <c r="M13" s="156"/>
      <c r="N13" s="156"/>
      <c r="O13" s="156"/>
      <c r="P13" s="156"/>
      <c r="Q13" s="157"/>
      <c r="R13" s="156"/>
      <c r="S13" s="156"/>
      <c r="T13" s="114"/>
      <c r="U13" s="114"/>
      <c r="V13" s="1">
        <v>24</v>
      </c>
      <c r="W13" s="910" t="s">
        <v>500</v>
      </c>
      <c r="X13" s="699">
        <f t="shared" si="1"/>
        <v>0</v>
      </c>
      <c r="Y13" s="737"/>
      <c r="Z13" s="156"/>
      <c r="AA13" s="156"/>
      <c r="AB13" s="156"/>
      <c r="AC13" s="156"/>
      <c r="AD13" s="156"/>
      <c r="AE13" s="156"/>
      <c r="AF13" s="156"/>
      <c r="AG13" s="156"/>
      <c r="AH13" s="157"/>
      <c r="AI13" s="157"/>
      <c r="AJ13" s="157"/>
      <c r="AK13" s="157"/>
      <c r="AL13" s="157"/>
      <c r="AM13" s="156"/>
      <c r="AN13" s="157"/>
      <c r="AO13" s="116"/>
      <c r="AP13" s="116"/>
    </row>
    <row r="14" spans="1:44" ht="17.399999999999999" customHeight="1" x14ac:dyDescent="0.3">
      <c r="A14" s="1">
        <v>10</v>
      </c>
      <c r="B14" s="911" t="s">
        <v>515</v>
      </c>
      <c r="C14" s="699">
        <f t="shared" si="0"/>
        <v>0</v>
      </c>
      <c r="D14" s="157"/>
      <c r="E14" s="157"/>
      <c r="F14" s="156"/>
      <c r="G14" s="157"/>
      <c r="H14" s="157"/>
      <c r="I14" s="157"/>
      <c r="J14" s="157"/>
      <c r="K14" s="157"/>
      <c r="L14" s="157"/>
      <c r="M14" s="157"/>
      <c r="N14" s="157"/>
      <c r="O14" s="157"/>
      <c r="P14" s="156"/>
      <c r="Q14" s="157"/>
      <c r="R14" s="156"/>
      <c r="S14" s="157"/>
      <c r="T14" s="114"/>
      <c r="U14" s="114"/>
      <c r="V14" s="2">
        <v>25</v>
      </c>
      <c r="W14" s="910" t="s">
        <v>501</v>
      </c>
      <c r="X14" s="699">
        <f t="shared" si="1"/>
        <v>0</v>
      </c>
      <c r="Y14" s="73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16"/>
      <c r="AP14" s="116"/>
    </row>
    <row r="15" spans="1:44" ht="17.399999999999999" customHeight="1" x14ac:dyDescent="0.3">
      <c r="A15" s="1">
        <v>11</v>
      </c>
      <c r="B15" s="910" t="s">
        <v>516</v>
      </c>
      <c r="C15" s="699">
        <f t="shared" si="0"/>
        <v>0</v>
      </c>
      <c r="D15" s="156"/>
      <c r="E15" s="156"/>
      <c r="F15" s="156"/>
      <c r="G15" s="156"/>
      <c r="H15" s="156"/>
      <c r="I15" s="156"/>
      <c r="J15" s="156"/>
      <c r="K15" s="157"/>
      <c r="L15" s="156"/>
      <c r="M15" s="156"/>
      <c r="N15" s="157"/>
      <c r="O15" s="156"/>
      <c r="P15" s="157"/>
      <c r="Q15" s="157"/>
      <c r="R15" s="156"/>
      <c r="S15" s="156"/>
      <c r="T15" s="114"/>
      <c r="U15" s="114"/>
      <c r="V15" s="2">
        <v>26</v>
      </c>
      <c r="W15" s="913" t="s">
        <v>502</v>
      </c>
      <c r="X15" s="699">
        <f t="shared" si="1"/>
        <v>0</v>
      </c>
      <c r="Y15" s="737"/>
      <c r="Z15" s="156"/>
      <c r="AA15" s="156"/>
      <c r="AB15" s="156"/>
      <c r="AC15" s="159"/>
      <c r="AD15" s="156"/>
      <c r="AE15" s="156"/>
      <c r="AF15" s="156"/>
      <c r="AG15" s="156"/>
      <c r="AH15" s="157"/>
      <c r="AI15" s="156"/>
      <c r="AJ15" s="157"/>
      <c r="AK15" s="156"/>
      <c r="AL15" s="157"/>
      <c r="AM15" s="156"/>
      <c r="AN15" s="156"/>
      <c r="AO15" s="116"/>
      <c r="AP15" s="116"/>
    </row>
    <row r="16" spans="1:44" ht="17.399999999999999" customHeight="1" x14ac:dyDescent="0.3">
      <c r="A16" s="1">
        <v>12</v>
      </c>
      <c r="B16" s="910" t="s">
        <v>517</v>
      </c>
      <c r="C16" s="699">
        <f t="shared" si="0"/>
        <v>0</v>
      </c>
      <c r="D16" s="156"/>
      <c r="E16" s="156"/>
      <c r="F16" s="157"/>
      <c r="G16" s="156"/>
      <c r="H16" s="156"/>
      <c r="I16" s="156"/>
      <c r="J16" s="156"/>
      <c r="K16" s="156"/>
      <c r="L16" s="156"/>
      <c r="M16" s="157"/>
      <c r="N16" s="157"/>
      <c r="O16" s="157"/>
      <c r="P16" s="156"/>
      <c r="Q16" s="157"/>
      <c r="R16" s="156"/>
      <c r="S16" s="156"/>
      <c r="T16" s="114"/>
      <c r="U16" s="114"/>
      <c r="V16" s="1">
        <v>27</v>
      </c>
      <c r="W16" s="914" t="s">
        <v>491</v>
      </c>
      <c r="X16" s="699">
        <f t="shared" si="1"/>
        <v>0</v>
      </c>
      <c r="Y16" s="737"/>
      <c r="Z16" s="156"/>
      <c r="AA16" s="156"/>
      <c r="AB16" s="156"/>
      <c r="AC16" s="157"/>
      <c r="AD16" s="157"/>
      <c r="AE16" s="156"/>
      <c r="AF16" s="156"/>
      <c r="AG16" s="156"/>
      <c r="AH16" s="157"/>
      <c r="AI16" s="157"/>
      <c r="AJ16" s="156"/>
      <c r="AK16" s="156"/>
      <c r="AL16" s="157"/>
      <c r="AM16" s="156"/>
      <c r="AN16" s="156"/>
      <c r="AO16" s="116"/>
      <c r="AP16" s="116"/>
    </row>
    <row r="17" spans="1:42" ht="17.399999999999999" customHeight="1" x14ac:dyDescent="0.3">
      <c r="A17" s="1">
        <v>13</v>
      </c>
      <c r="B17" s="910" t="s">
        <v>518</v>
      </c>
      <c r="C17" s="699">
        <f t="shared" si="0"/>
        <v>0</v>
      </c>
      <c r="D17" s="156"/>
      <c r="E17" s="156"/>
      <c r="F17" s="156"/>
      <c r="G17" s="156"/>
      <c r="H17" s="156"/>
      <c r="I17" s="156"/>
      <c r="J17" s="157"/>
      <c r="K17" s="156"/>
      <c r="L17" s="156"/>
      <c r="M17" s="156"/>
      <c r="N17" s="157"/>
      <c r="O17" s="156"/>
      <c r="P17" s="156"/>
      <c r="Q17" s="157"/>
      <c r="R17" s="156"/>
      <c r="S17" s="156"/>
      <c r="T17" s="114"/>
      <c r="U17" s="114"/>
      <c r="V17" s="2">
        <v>28</v>
      </c>
      <c r="W17" s="910" t="s">
        <v>503</v>
      </c>
      <c r="X17" s="699">
        <f t="shared" si="1"/>
        <v>0</v>
      </c>
      <c r="Y17" s="737"/>
      <c r="Z17" s="156"/>
      <c r="AA17" s="156"/>
      <c r="AB17" s="156"/>
      <c r="AC17" s="156"/>
      <c r="AD17" s="156"/>
      <c r="AE17" s="156"/>
      <c r="AF17" s="156"/>
      <c r="AG17" s="156"/>
      <c r="AH17" s="157"/>
      <c r="AI17" s="156"/>
      <c r="AJ17" s="156"/>
      <c r="AK17" s="157"/>
      <c r="AL17" s="157"/>
      <c r="AM17" s="171"/>
      <c r="AN17" s="171"/>
      <c r="AO17" s="116"/>
      <c r="AP17" s="116"/>
    </row>
    <row r="18" spans="1:42" ht="17.399999999999999" customHeight="1" x14ac:dyDescent="0.3">
      <c r="A18" s="1">
        <v>14</v>
      </c>
      <c r="B18" s="910" t="s">
        <v>519</v>
      </c>
      <c r="C18" s="699">
        <f t="shared" si="0"/>
        <v>0</v>
      </c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7"/>
      <c r="R18" s="156"/>
      <c r="S18" s="156"/>
      <c r="T18" s="114"/>
      <c r="U18" s="114"/>
      <c r="V18" s="2">
        <v>29</v>
      </c>
      <c r="W18" s="910" t="s">
        <v>504</v>
      </c>
      <c r="X18" s="699">
        <f t="shared" si="1"/>
        <v>0</v>
      </c>
      <c r="Y18" s="737"/>
      <c r="Z18" s="156"/>
      <c r="AA18" s="156"/>
      <c r="AB18" s="156"/>
      <c r="AC18" s="156"/>
      <c r="AD18" s="156"/>
      <c r="AE18" s="156"/>
      <c r="AF18" s="156"/>
      <c r="AG18" s="157"/>
      <c r="AH18" s="156"/>
      <c r="AI18" s="156"/>
      <c r="AJ18" s="156"/>
      <c r="AK18" s="157"/>
      <c r="AL18" s="157"/>
      <c r="AM18" s="171"/>
      <c r="AN18" s="171"/>
      <c r="AO18" s="116"/>
      <c r="AP18" s="116"/>
    </row>
    <row r="19" spans="1:42" ht="17.399999999999999" customHeight="1" x14ac:dyDescent="0.3">
      <c r="A19" s="1">
        <v>15</v>
      </c>
      <c r="B19" s="910" t="s">
        <v>520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1">
        <v>30</v>
      </c>
      <c r="W19" s="910" t="s">
        <v>505</v>
      </c>
      <c r="X19" s="699">
        <f t="shared" si="1"/>
        <v>0</v>
      </c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21" x14ac:dyDescent="0.3">
      <c r="A20" s="757" t="s">
        <v>48</v>
      </c>
      <c r="B20" s="757"/>
      <c r="C20" s="757"/>
      <c r="D20" s="757"/>
      <c r="E20" s="757"/>
      <c r="F20" s="757"/>
      <c r="G20" s="757"/>
      <c r="H20" s="757"/>
      <c r="I20" s="757"/>
      <c r="J20" s="757"/>
      <c r="K20" s="757"/>
      <c r="L20" s="757"/>
      <c r="M20" s="757"/>
      <c r="N20" s="757"/>
      <c r="O20" s="757"/>
      <c r="P20" s="757"/>
      <c r="Q20" s="757"/>
      <c r="R20" s="757"/>
      <c r="S20" s="757"/>
      <c r="T20" s="757"/>
      <c r="U20" s="757"/>
      <c r="V20" s="757"/>
      <c r="W20" s="757"/>
      <c r="X20" s="757"/>
      <c r="Y20" s="757"/>
      <c r="Z20" s="757"/>
      <c r="AA20" s="757"/>
      <c r="AB20" s="757"/>
      <c r="AC20" s="757"/>
      <c r="AD20" s="757"/>
      <c r="AE20" s="757"/>
      <c r="AF20" s="757"/>
      <c r="AG20" s="757"/>
      <c r="AH20" s="757"/>
      <c r="AI20" s="757"/>
      <c r="AJ20" s="757"/>
      <c r="AK20" s="757"/>
      <c r="AL20" s="757"/>
      <c r="AM20" s="757"/>
      <c r="AN20" s="757"/>
      <c r="AO20" s="757"/>
      <c r="AP20" s="757"/>
    </row>
    <row r="21" spans="1:42" ht="18" x14ac:dyDescent="0.3">
      <c r="A21" s="758" t="s">
        <v>34</v>
      </c>
      <c r="B21" s="759"/>
      <c r="C21" s="760" t="s">
        <v>1</v>
      </c>
      <c r="D21" s="771" t="s">
        <v>53</v>
      </c>
      <c r="E21" s="771"/>
      <c r="F21" s="771"/>
      <c r="G21" s="771"/>
      <c r="H21" s="771"/>
      <c r="I21" s="771"/>
      <c r="J21" s="771"/>
      <c r="K21" s="771"/>
      <c r="L21" s="771"/>
      <c r="M21" s="771"/>
      <c r="N21" s="771"/>
      <c r="O21" s="771"/>
      <c r="P21" s="771"/>
      <c r="Q21" s="771"/>
      <c r="R21" s="771"/>
      <c r="S21" s="771"/>
      <c r="T21" s="771"/>
      <c r="U21" s="771"/>
      <c r="V21" s="762" t="s">
        <v>34</v>
      </c>
      <c r="W21" s="759"/>
      <c r="X21" s="760" t="s">
        <v>1</v>
      </c>
      <c r="Y21" s="771" t="s">
        <v>53</v>
      </c>
      <c r="Z21" s="771"/>
      <c r="AA21" s="771"/>
      <c r="AB21" s="771"/>
      <c r="AC21" s="771"/>
      <c r="AD21" s="771"/>
      <c r="AE21" s="771"/>
      <c r="AF21" s="771"/>
      <c r="AG21" s="771"/>
      <c r="AH21" s="771"/>
      <c r="AI21" s="771"/>
      <c r="AJ21" s="771"/>
      <c r="AK21" s="771"/>
      <c r="AL21" s="771"/>
      <c r="AM21" s="771"/>
      <c r="AN21" s="771"/>
      <c r="AO21" s="771"/>
      <c r="AP21" s="771"/>
    </row>
    <row r="22" spans="1:42" x14ac:dyDescent="0.3">
      <c r="A22" s="758"/>
      <c r="B22" s="759"/>
      <c r="C22" s="760"/>
      <c r="D22" s="70">
        <v>1</v>
      </c>
      <c r="E22" s="95">
        <v>2</v>
      </c>
      <c r="F22" s="95">
        <v>3</v>
      </c>
      <c r="G22" s="95">
        <v>4</v>
      </c>
      <c r="H22" s="95">
        <v>5</v>
      </c>
      <c r="I22" s="95">
        <v>6</v>
      </c>
      <c r="J22" s="95">
        <v>7</v>
      </c>
      <c r="K22" s="95">
        <v>8</v>
      </c>
      <c r="L22" s="95">
        <v>9</v>
      </c>
      <c r="M22" s="95">
        <v>10</v>
      </c>
      <c r="N22" s="95">
        <v>11</v>
      </c>
      <c r="O22" s="95">
        <v>12</v>
      </c>
      <c r="P22" s="95">
        <v>13</v>
      </c>
      <c r="Q22" s="95">
        <v>14</v>
      </c>
      <c r="R22" s="95">
        <v>15</v>
      </c>
      <c r="S22" s="95">
        <v>16</v>
      </c>
      <c r="T22" s="95">
        <v>17</v>
      </c>
      <c r="U22" s="95">
        <v>18</v>
      </c>
      <c r="V22" s="762"/>
      <c r="W22" s="759"/>
      <c r="X22" s="760"/>
      <c r="Y22" s="70">
        <v>1</v>
      </c>
      <c r="Z22" s="95">
        <v>2</v>
      </c>
      <c r="AA22" s="95">
        <v>3</v>
      </c>
      <c r="AB22" s="95">
        <v>4</v>
      </c>
      <c r="AC22" s="95">
        <v>5</v>
      </c>
      <c r="AD22" s="95">
        <v>6</v>
      </c>
      <c r="AE22" s="95">
        <v>7</v>
      </c>
      <c r="AF22" s="95">
        <v>8</v>
      </c>
      <c r="AG22" s="95">
        <v>9</v>
      </c>
      <c r="AH22" s="95">
        <v>10</v>
      </c>
      <c r="AI22" s="95">
        <v>11</v>
      </c>
      <c r="AJ22" s="72">
        <v>12</v>
      </c>
      <c r="AK22" s="72">
        <v>13</v>
      </c>
      <c r="AL22" s="72">
        <v>14</v>
      </c>
      <c r="AM22" s="72">
        <v>15</v>
      </c>
      <c r="AN22" s="72">
        <v>16</v>
      </c>
      <c r="AO22" s="72">
        <v>17</v>
      </c>
      <c r="AP22" s="72">
        <v>18</v>
      </c>
    </row>
    <row r="23" spans="1:42" ht="67.2" customHeight="1" x14ac:dyDescent="0.3">
      <c r="A23" s="758"/>
      <c r="B23" s="759"/>
      <c r="C23" s="760"/>
      <c r="D23" s="738" t="s">
        <v>476</v>
      </c>
      <c r="E23" s="96"/>
      <c r="F23" s="96"/>
      <c r="G23" s="96"/>
      <c r="H23" s="96"/>
      <c r="I23" s="96"/>
      <c r="J23" s="180"/>
      <c r="K23" s="180"/>
      <c r="L23" s="150"/>
      <c r="M23" s="151"/>
      <c r="N23" s="96"/>
      <c r="O23" s="96"/>
      <c r="P23" s="96"/>
      <c r="Q23" s="75"/>
      <c r="R23" s="96"/>
      <c r="S23" s="96"/>
      <c r="T23" s="96"/>
      <c r="U23" s="96"/>
      <c r="V23" s="762"/>
      <c r="W23" s="759"/>
      <c r="X23" s="760"/>
      <c r="Y23" s="738" t="s">
        <v>476</v>
      </c>
      <c r="Z23" s="96"/>
      <c r="AA23" s="96"/>
      <c r="AB23" s="96"/>
      <c r="AC23" s="96"/>
      <c r="AD23" s="96"/>
      <c r="AE23" s="180"/>
      <c r="AF23" s="180"/>
      <c r="AG23" s="150"/>
      <c r="AH23" s="151"/>
      <c r="AI23" s="96"/>
      <c r="AJ23" s="96"/>
      <c r="AK23" s="96"/>
      <c r="AL23" s="75"/>
      <c r="AM23" s="96"/>
      <c r="AN23" s="96"/>
      <c r="AO23" s="96"/>
      <c r="AP23" s="96"/>
    </row>
    <row r="24" spans="1:42" ht="20.399999999999999" x14ac:dyDescent="0.3">
      <c r="A24" s="1">
        <v>1</v>
      </c>
      <c r="B24" s="910" t="s">
        <v>506</v>
      </c>
      <c r="C24" s="699">
        <f>((D24+E24+F24+G24+H24+I24+J24+K24+L24+M24+N24+O24+P24+Q24+R24+S24)/16)</f>
        <v>2.1875</v>
      </c>
      <c r="D24" s="157">
        <v>35</v>
      </c>
      <c r="E24" s="156"/>
      <c r="F24" s="156"/>
      <c r="G24" s="157"/>
      <c r="H24" s="157"/>
      <c r="I24" s="157"/>
      <c r="J24" s="157"/>
      <c r="K24" s="156"/>
      <c r="L24" s="156"/>
      <c r="M24" s="157"/>
      <c r="N24" s="157"/>
      <c r="O24" s="156"/>
      <c r="P24" s="157"/>
      <c r="Q24" s="157"/>
      <c r="R24" s="156"/>
      <c r="S24" s="156"/>
      <c r="T24" s="114"/>
      <c r="U24" s="114"/>
      <c r="V24" s="2">
        <v>16</v>
      </c>
      <c r="W24" s="910" t="s">
        <v>492</v>
      </c>
      <c r="X24" s="699">
        <f>((Y24+Z24+AA24+AB24+AC24+AD24+AE24+AF24+AG24+AH24+AI24+AJ24+AK24+AL24+AM24+AN24)/16)</f>
        <v>2.1875</v>
      </c>
      <c r="Y24" s="737">
        <v>35</v>
      </c>
      <c r="Z24" s="156"/>
      <c r="AA24" s="156"/>
      <c r="AB24" s="157"/>
      <c r="AC24" s="156"/>
      <c r="AD24" s="156"/>
      <c r="AE24" s="156"/>
      <c r="AF24" s="156"/>
      <c r="AG24" s="156"/>
      <c r="AH24" s="156"/>
      <c r="AI24" s="157"/>
      <c r="AJ24" s="157"/>
      <c r="AK24" s="157"/>
      <c r="AL24" s="157"/>
      <c r="AM24" s="156"/>
      <c r="AN24" s="156"/>
      <c r="AO24" s="116"/>
      <c r="AP24" s="116"/>
    </row>
    <row r="25" spans="1:42" ht="20.399999999999999" x14ac:dyDescent="0.3">
      <c r="A25" s="1">
        <v>2</v>
      </c>
      <c r="B25" s="910" t="s">
        <v>507</v>
      </c>
      <c r="C25" s="699">
        <f t="shared" ref="C25:C38" si="2">((D25+E25+F25+G25+H25+I25+J25+K25+L25+M25+N25+O25+P25+Q25+R25+S25)/16)</f>
        <v>2.1875</v>
      </c>
      <c r="D25" s="156">
        <v>35</v>
      </c>
      <c r="E25" s="156"/>
      <c r="F25" s="156"/>
      <c r="G25" s="156"/>
      <c r="H25" s="156"/>
      <c r="I25" s="156"/>
      <c r="J25" s="157"/>
      <c r="K25" s="156"/>
      <c r="L25" s="156"/>
      <c r="M25" s="156"/>
      <c r="N25" s="156"/>
      <c r="O25" s="156"/>
      <c r="P25" s="156"/>
      <c r="Q25" s="157"/>
      <c r="R25" s="156"/>
      <c r="S25" s="156"/>
      <c r="T25" s="114"/>
      <c r="U25" s="114"/>
      <c r="V25" s="2">
        <v>17</v>
      </c>
      <c r="W25" s="910" t="s">
        <v>493</v>
      </c>
      <c r="X25" s="699">
        <f t="shared" ref="X25:X38" si="3">((Y25+Z25+AA25+AB25+AC25+AD25+AE25+AF25+AG25+AH25+AI25+AJ25+AK25+AL25+AM25+AN25)/16)</f>
        <v>2.1875</v>
      </c>
      <c r="Y25" s="737">
        <v>35</v>
      </c>
      <c r="Z25" s="156"/>
      <c r="AA25" s="156"/>
      <c r="AB25" s="156"/>
      <c r="AC25" s="156"/>
      <c r="AD25" s="156"/>
      <c r="AE25" s="156"/>
      <c r="AF25" s="157"/>
      <c r="AG25" s="156"/>
      <c r="AH25" s="156"/>
      <c r="AI25" s="157"/>
      <c r="AJ25" s="157"/>
      <c r="AK25" s="156"/>
      <c r="AL25" s="157"/>
      <c r="AM25" s="156"/>
      <c r="AN25" s="156"/>
      <c r="AO25" s="116"/>
      <c r="AP25" s="116"/>
    </row>
    <row r="26" spans="1:42" ht="20.399999999999999" x14ac:dyDescent="0.3">
      <c r="A26" s="1">
        <v>3</v>
      </c>
      <c r="B26" s="910" t="s">
        <v>508</v>
      </c>
      <c r="C26" s="699">
        <f t="shared" si="2"/>
        <v>2.1875</v>
      </c>
      <c r="D26" s="156">
        <v>35</v>
      </c>
      <c r="E26" s="156"/>
      <c r="F26" s="156"/>
      <c r="G26" s="157"/>
      <c r="H26" s="156"/>
      <c r="I26" s="156"/>
      <c r="J26" s="156"/>
      <c r="K26" s="156"/>
      <c r="L26" s="156"/>
      <c r="M26" s="157"/>
      <c r="N26" s="157"/>
      <c r="O26" s="157"/>
      <c r="P26" s="156"/>
      <c r="Q26" s="157"/>
      <c r="R26" s="156"/>
      <c r="S26" s="156"/>
      <c r="T26" s="114"/>
      <c r="U26" s="114"/>
      <c r="V26" s="1">
        <v>18</v>
      </c>
      <c r="W26" s="912" t="s">
        <v>494</v>
      </c>
      <c r="X26" s="699">
        <f t="shared" si="3"/>
        <v>2.1875</v>
      </c>
      <c r="Y26" s="737">
        <v>35</v>
      </c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7"/>
      <c r="AM26" s="156"/>
      <c r="AN26" s="156"/>
      <c r="AO26" s="116"/>
      <c r="AP26" s="116"/>
    </row>
    <row r="27" spans="1:42" ht="20.399999999999999" x14ac:dyDescent="0.3">
      <c r="A27" s="1">
        <v>4</v>
      </c>
      <c r="B27" s="910" t="s">
        <v>509</v>
      </c>
      <c r="C27" s="699">
        <f t="shared" si="2"/>
        <v>0</v>
      </c>
      <c r="D27" s="156"/>
      <c r="E27" s="156"/>
      <c r="F27" s="156"/>
      <c r="G27" s="156"/>
      <c r="H27" s="156"/>
      <c r="I27" s="156"/>
      <c r="J27" s="156"/>
      <c r="K27" s="156"/>
      <c r="L27" s="156"/>
      <c r="M27" s="158"/>
      <c r="N27" s="182"/>
      <c r="O27" s="158"/>
      <c r="P27" s="158"/>
      <c r="Q27" s="182"/>
      <c r="R27" s="158"/>
      <c r="S27" s="158"/>
      <c r="T27" s="115"/>
      <c r="U27" s="115"/>
      <c r="V27" s="2">
        <v>19</v>
      </c>
      <c r="W27" s="910" t="s">
        <v>495</v>
      </c>
      <c r="X27" s="699">
        <f t="shared" si="3"/>
        <v>0</v>
      </c>
      <c r="Y27" s="737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8"/>
      <c r="AK27" s="156"/>
      <c r="AL27" s="157"/>
      <c r="AM27" s="156"/>
      <c r="AN27" s="156"/>
      <c r="AO27" s="116"/>
      <c r="AP27" s="116"/>
    </row>
    <row r="28" spans="1:42" ht="20.399999999999999" x14ac:dyDescent="0.3">
      <c r="A28" s="1">
        <v>5</v>
      </c>
      <c r="B28" s="910" t="s">
        <v>510</v>
      </c>
      <c r="C28" s="699">
        <f t="shared" si="2"/>
        <v>2.1875</v>
      </c>
      <c r="D28" s="156">
        <v>35</v>
      </c>
      <c r="E28" s="159"/>
      <c r="F28" s="156"/>
      <c r="G28" s="156"/>
      <c r="H28" s="156"/>
      <c r="I28" s="156"/>
      <c r="J28" s="156"/>
      <c r="K28" s="156"/>
      <c r="L28" s="156"/>
      <c r="M28" s="157"/>
      <c r="N28" s="156"/>
      <c r="O28" s="157"/>
      <c r="P28" s="156"/>
      <c r="Q28" s="157"/>
      <c r="R28" s="156"/>
      <c r="S28" s="156"/>
      <c r="T28" s="114"/>
      <c r="U28" s="114"/>
      <c r="V28" s="2">
        <v>20</v>
      </c>
      <c r="W28" s="910" t="s">
        <v>496</v>
      </c>
      <c r="X28" s="699">
        <f t="shared" si="3"/>
        <v>2.1875</v>
      </c>
      <c r="Y28" s="737">
        <v>35</v>
      </c>
      <c r="Z28" s="157"/>
      <c r="AA28" s="156"/>
      <c r="AB28" s="156"/>
      <c r="AC28" s="157"/>
      <c r="AD28" s="156"/>
      <c r="AE28" s="157"/>
      <c r="AF28" s="157"/>
      <c r="AG28" s="157"/>
      <c r="AH28" s="156"/>
      <c r="AI28" s="156"/>
      <c r="AJ28" s="156"/>
      <c r="AK28" s="156"/>
      <c r="AL28" s="157"/>
      <c r="AM28" s="156"/>
      <c r="AN28" s="156"/>
      <c r="AO28" s="116"/>
      <c r="AP28" s="116"/>
    </row>
    <row r="29" spans="1:42" ht="20.399999999999999" x14ac:dyDescent="0.3">
      <c r="A29" s="1">
        <v>6</v>
      </c>
      <c r="B29" s="910" t="s">
        <v>511</v>
      </c>
      <c r="C29" s="699">
        <f t="shared" si="2"/>
        <v>1.375</v>
      </c>
      <c r="D29" s="156">
        <v>22</v>
      </c>
      <c r="E29" s="159"/>
      <c r="F29" s="156"/>
      <c r="G29" s="156"/>
      <c r="H29" s="156"/>
      <c r="I29" s="156"/>
      <c r="J29" s="156"/>
      <c r="K29" s="156"/>
      <c r="L29" s="156"/>
      <c r="M29" s="156"/>
      <c r="N29" s="157"/>
      <c r="O29" s="157"/>
      <c r="P29" s="156"/>
      <c r="Q29" s="157"/>
      <c r="R29" s="156"/>
      <c r="S29" s="156"/>
      <c r="T29" s="114"/>
      <c r="U29" s="114"/>
      <c r="V29" s="1">
        <v>21</v>
      </c>
      <c r="W29" s="910" t="s">
        <v>497</v>
      </c>
      <c r="X29" s="699">
        <f t="shared" si="3"/>
        <v>0</v>
      </c>
      <c r="Y29" s="737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7"/>
      <c r="AM29" s="156"/>
      <c r="AN29" s="156"/>
      <c r="AO29" s="116"/>
      <c r="AP29" s="116"/>
    </row>
    <row r="30" spans="1:42" ht="20.399999999999999" x14ac:dyDescent="0.3">
      <c r="A30" s="1">
        <v>7</v>
      </c>
      <c r="B30" s="910" t="s">
        <v>512</v>
      </c>
      <c r="C30" s="699">
        <f t="shared" si="2"/>
        <v>0</v>
      </c>
      <c r="D30" s="156"/>
      <c r="E30" s="156"/>
      <c r="F30" s="157"/>
      <c r="G30" s="156"/>
      <c r="H30" s="156"/>
      <c r="I30" s="156"/>
      <c r="J30" s="156"/>
      <c r="K30" s="157"/>
      <c r="L30" s="156"/>
      <c r="M30" s="156"/>
      <c r="N30" s="157"/>
      <c r="O30" s="157"/>
      <c r="P30" s="156"/>
      <c r="Q30" s="157"/>
      <c r="R30" s="156"/>
      <c r="S30" s="156"/>
      <c r="T30" s="114"/>
      <c r="U30" s="114"/>
      <c r="V30" s="2">
        <v>22</v>
      </c>
      <c r="W30" s="910" t="s">
        <v>498</v>
      </c>
      <c r="X30" s="699">
        <f t="shared" si="3"/>
        <v>0</v>
      </c>
      <c r="Y30" s="737"/>
      <c r="Z30" s="156"/>
      <c r="AA30" s="156"/>
      <c r="AB30" s="156"/>
      <c r="AC30" s="156"/>
      <c r="AD30" s="156"/>
      <c r="AE30" s="157"/>
      <c r="AF30" s="156"/>
      <c r="AG30" s="156"/>
      <c r="AH30" s="156"/>
      <c r="AI30" s="157"/>
      <c r="AJ30" s="157"/>
      <c r="AK30" s="157"/>
      <c r="AL30" s="157"/>
      <c r="AM30" s="156"/>
      <c r="AN30" s="156"/>
      <c r="AO30" s="116"/>
      <c r="AP30" s="116"/>
    </row>
    <row r="31" spans="1:42" ht="20.399999999999999" x14ac:dyDescent="0.3">
      <c r="A31" s="1">
        <v>8</v>
      </c>
      <c r="B31" s="910" t="s">
        <v>513</v>
      </c>
      <c r="C31" s="699">
        <f t="shared" si="2"/>
        <v>1.125</v>
      </c>
      <c r="D31" s="156">
        <v>18</v>
      </c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7"/>
      <c r="R31" s="156"/>
      <c r="S31" s="156"/>
      <c r="T31" s="114"/>
      <c r="U31" s="114"/>
      <c r="V31" s="2">
        <v>23</v>
      </c>
      <c r="W31" s="910" t="s">
        <v>499</v>
      </c>
      <c r="X31" s="699">
        <f t="shared" si="3"/>
        <v>0</v>
      </c>
      <c r="Y31" s="737"/>
      <c r="Z31" s="156"/>
      <c r="AA31" s="156"/>
      <c r="AB31" s="157"/>
      <c r="AC31" s="156"/>
      <c r="AD31" s="156"/>
      <c r="AE31" s="156"/>
      <c r="AF31" s="157"/>
      <c r="AG31" s="156"/>
      <c r="AH31" s="156"/>
      <c r="AI31" s="156"/>
      <c r="AJ31" s="156"/>
      <c r="AK31" s="156"/>
      <c r="AL31" s="157"/>
      <c r="AM31" s="156"/>
      <c r="AN31" s="156"/>
      <c r="AO31" s="116"/>
      <c r="AP31" s="116"/>
    </row>
    <row r="32" spans="1:42" x14ac:dyDescent="0.3">
      <c r="A32" s="1">
        <v>9</v>
      </c>
      <c r="B32" s="910" t="s">
        <v>514</v>
      </c>
      <c r="C32" s="699">
        <f t="shared" si="2"/>
        <v>1.125</v>
      </c>
      <c r="D32" s="156">
        <v>18</v>
      </c>
      <c r="E32" s="156"/>
      <c r="F32" s="156"/>
      <c r="G32" s="156"/>
      <c r="H32" s="159"/>
      <c r="I32" s="156"/>
      <c r="J32" s="156"/>
      <c r="K32" s="156"/>
      <c r="L32" s="156"/>
      <c r="M32" s="156"/>
      <c r="N32" s="156"/>
      <c r="O32" s="156"/>
      <c r="P32" s="156"/>
      <c r="Q32" s="157"/>
      <c r="R32" s="156"/>
      <c r="S32" s="156"/>
      <c r="T32" s="114"/>
      <c r="U32" s="114"/>
      <c r="V32" s="1">
        <v>24</v>
      </c>
      <c r="W32" s="910" t="s">
        <v>500</v>
      </c>
      <c r="X32" s="699">
        <f t="shared" si="3"/>
        <v>0</v>
      </c>
      <c r="Y32" s="737"/>
      <c r="Z32" s="156"/>
      <c r="AA32" s="156"/>
      <c r="AB32" s="156"/>
      <c r="AC32" s="156"/>
      <c r="AD32" s="156"/>
      <c r="AE32" s="156"/>
      <c r="AF32" s="156"/>
      <c r="AG32" s="156"/>
      <c r="AH32" s="157"/>
      <c r="AI32" s="157"/>
      <c r="AJ32" s="157"/>
      <c r="AK32" s="157"/>
      <c r="AL32" s="157"/>
      <c r="AM32" s="156"/>
      <c r="AN32" s="157"/>
      <c r="AO32" s="116"/>
      <c r="AP32" s="116"/>
    </row>
    <row r="33" spans="1:43" ht="20.399999999999999" x14ac:dyDescent="0.3">
      <c r="A33" s="1">
        <v>10</v>
      </c>
      <c r="B33" s="911" t="s">
        <v>515</v>
      </c>
      <c r="C33" s="699">
        <f t="shared" si="2"/>
        <v>2.1875</v>
      </c>
      <c r="D33" s="157">
        <v>35</v>
      </c>
      <c r="E33" s="157"/>
      <c r="F33" s="156"/>
      <c r="G33" s="157"/>
      <c r="H33" s="157"/>
      <c r="I33" s="157"/>
      <c r="J33" s="157"/>
      <c r="K33" s="157"/>
      <c r="L33" s="157"/>
      <c r="M33" s="157"/>
      <c r="N33" s="157"/>
      <c r="O33" s="157"/>
      <c r="P33" s="156"/>
      <c r="Q33" s="157"/>
      <c r="R33" s="156"/>
      <c r="S33" s="157"/>
      <c r="T33" s="114"/>
      <c r="U33" s="114"/>
      <c r="V33" s="2">
        <v>25</v>
      </c>
      <c r="W33" s="910" t="s">
        <v>501</v>
      </c>
      <c r="X33" s="699">
        <f t="shared" si="3"/>
        <v>0</v>
      </c>
      <c r="Y33" s="73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16"/>
      <c r="AP33" s="116"/>
    </row>
    <row r="34" spans="1:43" ht="20.399999999999999" x14ac:dyDescent="0.3">
      <c r="A34" s="1">
        <v>11</v>
      </c>
      <c r="B34" s="910" t="s">
        <v>516</v>
      </c>
      <c r="C34" s="699">
        <f t="shared" si="2"/>
        <v>2.1875</v>
      </c>
      <c r="D34" s="156">
        <v>35</v>
      </c>
      <c r="E34" s="156"/>
      <c r="F34" s="156"/>
      <c r="G34" s="156"/>
      <c r="H34" s="156"/>
      <c r="I34" s="156"/>
      <c r="J34" s="156"/>
      <c r="K34" s="157"/>
      <c r="L34" s="156"/>
      <c r="M34" s="156"/>
      <c r="N34" s="157"/>
      <c r="O34" s="156"/>
      <c r="P34" s="157"/>
      <c r="Q34" s="157"/>
      <c r="R34" s="156"/>
      <c r="S34" s="156"/>
      <c r="T34" s="114"/>
      <c r="U34" s="114"/>
      <c r="V34" s="2">
        <v>26</v>
      </c>
      <c r="W34" s="913" t="s">
        <v>502</v>
      </c>
      <c r="X34" s="699">
        <f t="shared" si="3"/>
        <v>0</v>
      </c>
      <c r="Y34" s="737"/>
      <c r="Z34" s="156"/>
      <c r="AA34" s="156"/>
      <c r="AB34" s="156"/>
      <c r="AC34" s="159"/>
      <c r="AD34" s="156"/>
      <c r="AE34" s="156"/>
      <c r="AF34" s="156"/>
      <c r="AG34" s="156"/>
      <c r="AH34" s="157"/>
      <c r="AI34" s="156"/>
      <c r="AJ34" s="157"/>
      <c r="AK34" s="156"/>
      <c r="AL34" s="157"/>
      <c r="AM34" s="156"/>
      <c r="AN34" s="156"/>
      <c r="AO34" s="116"/>
      <c r="AP34" s="116"/>
    </row>
    <row r="35" spans="1:43" x14ac:dyDescent="0.3">
      <c r="A35" s="1">
        <v>12</v>
      </c>
      <c r="B35" s="910" t="s">
        <v>517</v>
      </c>
      <c r="C35" s="699">
        <f t="shared" si="2"/>
        <v>0</v>
      </c>
      <c r="D35" s="156"/>
      <c r="E35" s="156"/>
      <c r="F35" s="157"/>
      <c r="G35" s="156"/>
      <c r="H35" s="156"/>
      <c r="I35" s="156"/>
      <c r="J35" s="156"/>
      <c r="K35" s="156"/>
      <c r="L35" s="156"/>
      <c r="M35" s="157"/>
      <c r="N35" s="157"/>
      <c r="O35" s="157"/>
      <c r="P35" s="156"/>
      <c r="Q35" s="157"/>
      <c r="R35" s="156"/>
      <c r="S35" s="156"/>
      <c r="T35" s="114"/>
      <c r="U35" s="114"/>
      <c r="V35" s="1">
        <v>27</v>
      </c>
      <c r="W35" s="914" t="s">
        <v>491</v>
      </c>
      <c r="X35" s="699">
        <f t="shared" si="3"/>
        <v>2.1875</v>
      </c>
      <c r="Y35" s="737">
        <v>35</v>
      </c>
      <c r="Z35" s="156"/>
      <c r="AA35" s="156"/>
      <c r="AB35" s="156"/>
      <c r="AC35" s="157"/>
      <c r="AD35" s="157"/>
      <c r="AE35" s="156"/>
      <c r="AF35" s="156"/>
      <c r="AG35" s="156"/>
      <c r="AH35" s="157"/>
      <c r="AI35" s="157"/>
      <c r="AJ35" s="156"/>
      <c r="AK35" s="156"/>
      <c r="AL35" s="157"/>
      <c r="AM35" s="156"/>
      <c r="AN35" s="156"/>
      <c r="AO35" s="116"/>
      <c r="AP35" s="116"/>
    </row>
    <row r="36" spans="1:43" ht="20.399999999999999" x14ac:dyDescent="0.3">
      <c r="A36" s="1">
        <v>13</v>
      </c>
      <c r="B36" s="910" t="s">
        <v>518</v>
      </c>
      <c r="C36" s="699">
        <f t="shared" si="2"/>
        <v>2.1875</v>
      </c>
      <c r="D36" s="156">
        <v>35</v>
      </c>
      <c r="E36" s="156"/>
      <c r="F36" s="156"/>
      <c r="G36" s="156"/>
      <c r="H36" s="156"/>
      <c r="I36" s="156"/>
      <c r="J36" s="157"/>
      <c r="K36" s="156"/>
      <c r="L36" s="156"/>
      <c r="M36" s="156"/>
      <c r="N36" s="157"/>
      <c r="O36" s="156"/>
      <c r="P36" s="156"/>
      <c r="Q36" s="157"/>
      <c r="R36" s="156"/>
      <c r="S36" s="156"/>
      <c r="T36" s="114"/>
      <c r="U36" s="114"/>
      <c r="V36" s="2">
        <v>28</v>
      </c>
      <c r="W36" s="910" t="s">
        <v>503</v>
      </c>
      <c r="X36" s="699">
        <f t="shared" si="3"/>
        <v>0</v>
      </c>
      <c r="Y36" s="737"/>
      <c r="Z36" s="156"/>
      <c r="AA36" s="156"/>
      <c r="AB36" s="156"/>
      <c r="AC36" s="156"/>
      <c r="AD36" s="156"/>
      <c r="AE36" s="156"/>
      <c r="AF36" s="156"/>
      <c r="AG36" s="156"/>
      <c r="AH36" s="157"/>
      <c r="AI36" s="156"/>
      <c r="AJ36" s="156"/>
      <c r="AK36" s="157"/>
      <c r="AL36" s="157"/>
      <c r="AM36" s="171"/>
      <c r="AN36" s="171"/>
      <c r="AO36" s="116"/>
      <c r="AP36" s="116"/>
    </row>
    <row r="37" spans="1:43" ht="20.399999999999999" x14ac:dyDescent="0.3">
      <c r="A37" s="1">
        <v>14</v>
      </c>
      <c r="B37" s="910" t="s">
        <v>519</v>
      </c>
      <c r="C37" s="699">
        <f t="shared" si="2"/>
        <v>0</v>
      </c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7"/>
      <c r="R37" s="156"/>
      <c r="S37" s="156"/>
      <c r="T37" s="114"/>
      <c r="U37" s="114"/>
      <c r="V37" s="2">
        <v>29</v>
      </c>
      <c r="W37" s="910" t="s">
        <v>504</v>
      </c>
      <c r="X37" s="699">
        <f t="shared" si="3"/>
        <v>0</v>
      </c>
      <c r="Y37" s="737"/>
      <c r="Z37" s="156"/>
      <c r="AA37" s="156"/>
      <c r="AB37" s="156"/>
      <c r="AC37" s="156"/>
      <c r="AD37" s="156"/>
      <c r="AE37" s="156"/>
      <c r="AF37" s="156"/>
      <c r="AG37" s="157"/>
      <c r="AH37" s="156"/>
      <c r="AI37" s="156"/>
      <c r="AJ37" s="156"/>
      <c r="AK37" s="157"/>
      <c r="AL37" s="157"/>
      <c r="AM37" s="171"/>
      <c r="AN37" s="171"/>
      <c r="AO37" s="116"/>
      <c r="AP37" s="116"/>
    </row>
    <row r="38" spans="1:43" ht="19.8" customHeight="1" x14ac:dyDescent="0.3">
      <c r="A38" s="1">
        <v>15</v>
      </c>
      <c r="B38" s="910" t="s">
        <v>520</v>
      </c>
      <c r="C38" s="699">
        <f t="shared" si="2"/>
        <v>2.1875</v>
      </c>
      <c r="D38" s="365">
        <v>35</v>
      </c>
      <c r="E38" s="365"/>
      <c r="F38" s="365"/>
      <c r="G38" s="365"/>
      <c r="H38" s="365"/>
      <c r="I38" s="365"/>
      <c r="J38" s="365"/>
      <c r="K38" s="365"/>
      <c r="L38" s="365"/>
      <c r="M38" s="365"/>
      <c r="N38" s="365"/>
      <c r="O38" s="365"/>
      <c r="P38" s="365"/>
      <c r="Q38" s="365"/>
      <c r="R38" s="365"/>
      <c r="S38" s="365"/>
      <c r="T38" s="365"/>
      <c r="U38" s="365"/>
      <c r="V38" s="1">
        <v>30</v>
      </c>
      <c r="W38" s="910" t="s">
        <v>505</v>
      </c>
      <c r="X38" s="699">
        <f t="shared" si="3"/>
        <v>2.1875</v>
      </c>
      <c r="Y38" s="365">
        <v>35</v>
      </c>
      <c r="Z38" s="365"/>
      <c r="AA38" s="365"/>
      <c r="AB38" s="365"/>
      <c r="AC38" s="365"/>
      <c r="AD38" s="365"/>
      <c r="AE38" s="365"/>
      <c r="AF38" s="365"/>
      <c r="AG38" s="365"/>
      <c r="AH38" s="365"/>
      <c r="AI38" s="365"/>
      <c r="AJ38" s="365"/>
      <c r="AK38" s="365"/>
      <c r="AL38" s="365"/>
      <c r="AM38" s="365"/>
      <c r="AN38" s="365"/>
      <c r="AO38" s="365"/>
      <c r="AP38" s="365"/>
    </row>
    <row r="39" spans="1:43" ht="21" x14ac:dyDescent="0.3">
      <c r="A39" s="757" t="s">
        <v>48</v>
      </c>
      <c r="B39" s="757"/>
      <c r="C39" s="757"/>
      <c r="D39" s="757"/>
      <c r="E39" s="757"/>
      <c r="F39" s="757"/>
      <c r="G39" s="757"/>
      <c r="H39" s="757"/>
      <c r="I39" s="757"/>
      <c r="J39" s="757"/>
      <c r="K39" s="757"/>
      <c r="L39" s="757"/>
      <c r="M39" s="757"/>
      <c r="N39" s="757"/>
      <c r="O39" s="757"/>
      <c r="P39" s="757"/>
      <c r="Q39" s="757"/>
      <c r="R39" s="757"/>
      <c r="S39" s="757"/>
      <c r="T39" s="757"/>
      <c r="U39" s="757"/>
      <c r="V39" s="757"/>
      <c r="W39" s="757"/>
      <c r="X39" s="757"/>
      <c r="Y39" s="757"/>
      <c r="Z39" s="757"/>
      <c r="AA39" s="757"/>
      <c r="AB39" s="757"/>
      <c r="AC39" s="757"/>
      <c r="AD39" s="757"/>
      <c r="AE39" s="757"/>
      <c r="AF39" s="757"/>
      <c r="AG39" s="757"/>
      <c r="AH39" s="757"/>
      <c r="AI39" s="757"/>
      <c r="AJ39" s="757"/>
      <c r="AK39" s="757"/>
      <c r="AL39" s="757"/>
      <c r="AM39" s="757"/>
      <c r="AN39" s="757"/>
      <c r="AO39" s="757"/>
      <c r="AP39" s="757"/>
    </row>
    <row r="40" spans="1:43" ht="18" x14ac:dyDescent="0.3">
      <c r="A40" s="758" t="s">
        <v>34</v>
      </c>
      <c r="B40" s="759"/>
      <c r="C40" s="760" t="s">
        <v>1</v>
      </c>
      <c r="D40" s="772" t="s">
        <v>54</v>
      </c>
      <c r="E40" s="772"/>
      <c r="F40" s="772"/>
      <c r="G40" s="772"/>
      <c r="H40" s="772"/>
      <c r="I40" s="772"/>
      <c r="J40" s="772"/>
      <c r="K40" s="772"/>
      <c r="L40" s="772"/>
      <c r="M40" s="772"/>
      <c r="N40" s="772"/>
      <c r="O40" s="772"/>
      <c r="P40" s="772"/>
      <c r="Q40" s="772"/>
      <c r="R40" s="772"/>
      <c r="S40" s="772"/>
      <c r="T40" s="772"/>
      <c r="U40" s="772"/>
      <c r="V40" s="762" t="s">
        <v>34</v>
      </c>
      <c r="W40" s="759"/>
      <c r="X40" s="760" t="s">
        <v>1</v>
      </c>
      <c r="Y40" s="772" t="s">
        <v>54</v>
      </c>
      <c r="Z40" s="772"/>
      <c r="AA40" s="772"/>
      <c r="AB40" s="772"/>
      <c r="AC40" s="772"/>
      <c r="AD40" s="772"/>
      <c r="AE40" s="772"/>
      <c r="AF40" s="772"/>
      <c r="AG40" s="772"/>
      <c r="AH40" s="772"/>
      <c r="AI40" s="772"/>
      <c r="AJ40" s="772"/>
      <c r="AK40" s="772"/>
      <c r="AL40" s="772"/>
      <c r="AM40" s="772"/>
      <c r="AN40" s="772"/>
      <c r="AO40" s="772"/>
      <c r="AP40" s="772"/>
    </row>
    <row r="41" spans="1:43" x14ac:dyDescent="0.3">
      <c r="A41" s="758"/>
      <c r="B41" s="759"/>
      <c r="C41" s="760"/>
      <c r="D41" s="70">
        <v>1</v>
      </c>
      <c r="E41" s="95">
        <v>2</v>
      </c>
      <c r="F41" s="95">
        <v>3</v>
      </c>
      <c r="G41" s="95">
        <v>4</v>
      </c>
      <c r="H41" s="95">
        <v>5</v>
      </c>
      <c r="I41" s="95">
        <v>6</v>
      </c>
      <c r="J41" s="95">
        <v>7</v>
      </c>
      <c r="K41" s="95">
        <v>8</v>
      </c>
      <c r="L41" s="95">
        <v>9</v>
      </c>
      <c r="M41" s="95">
        <v>10</v>
      </c>
      <c r="N41" s="95">
        <v>11</v>
      </c>
      <c r="O41" s="95">
        <v>12</v>
      </c>
      <c r="P41" s="95">
        <v>13</v>
      </c>
      <c r="Q41" s="95">
        <v>14</v>
      </c>
      <c r="R41" s="95">
        <v>15</v>
      </c>
      <c r="S41" s="95">
        <v>16</v>
      </c>
      <c r="T41" s="95">
        <v>17</v>
      </c>
      <c r="U41" s="95">
        <v>18</v>
      </c>
      <c r="V41" s="762"/>
      <c r="W41" s="759"/>
      <c r="X41" s="760"/>
      <c r="Y41" s="70">
        <v>1</v>
      </c>
      <c r="Z41" s="95">
        <v>2</v>
      </c>
      <c r="AA41" s="95">
        <v>3</v>
      </c>
      <c r="AB41" s="95">
        <v>4</v>
      </c>
      <c r="AC41" s="95">
        <v>5</v>
      </c>
      <c r="AD41" s="95">
        <v>6</v>
      </c>
      <c r="AE41" s="95">
        <v>7</v>
      </c>
      <c r="AF41" s="95">
        <v>8</v>
      </c>
      <c r="AG41" s="95">
        <v>9</v>
      </c>
      <c r="AH41" s="95">
        <v>10</v>
      </c>
      <c r="AI41" s="95">
        <v>11</v>
      </c>
      <c r="AJ41" s="72">
        <v>12</v>
      </c>
      <c r="AK41" s="72">
        <v>13</v>
      </c>
      <c r="AL41" s="72">
        <v>14</v>
      </c>
      <c r="AM41" s="72">
        <v>15</v>
      </c>
      <c r="AN41" s="72">
        <v>16</v>
      </c>
      <c r="AO41" s="72">
        <v>17</v>
      </c>
      <c r="AP41" s="72">
        <v>18</v>
      </c>
    </row>
    <row r="42" spans="1:43" ht="85.2" customHeight="1" x14ac:dyDescent="0.3">
      <c r="A42" s="758"/>
      <c r="B42" s="759"/>
      <c r="C42" s="760"/>
      <c r="D42" s="93"/>
      <c r="E42" s="96"/>
      <c r="F42" s="96"/>
      <c r="G42" s="150"/>
      <c r="H42" s="151"/>
      <c r="I42" s="151"/>
      <c r="J42" s="96"/>
      <c r="K42" s="190"/>
      <c r="L42" s="96"/>
      <c r="M42" s="96"/>
      <c r="N42" s="96"/>
      <c r="O42" s="96"/>
      <c r="P42" s="96"/>
      <c r="Q42" s="75"/>
      <c r="R42" s="96"/>
      <c r="S42" s="96"/>
      <c r="T42" s="96"/>
      <c r="U42" s="96"/>
      <c r="V42" s="762"/>
      <c r="W42" s="759"/>
      <c r="X42" s="760"/>
      <c r="Y42" s="93"/>
      <c r="Z42" s="96"/>
      <c r="AA42" s="96"/>
      <c r="AB42" s="150"/>
      <c r="AC42" s="151"/>
      <c r="AD42" s="151"/>
      <c r="AE42" s="78"/>
      <c r="AF42" s="190"/>
      <c r="AG42" s="78"/>
      <c r="AH42" s="96"/>
      <c r="AI42" s="96"/>
      <c r="AJ42" s="96"/>
      <c r="AK42" s="96"/>
      <c r="AL42" s="75"/>
      <c r="AM42" s="96"/>
      <c r="AN42" s="96"/>
      <c r="AO42" s="96"/>
      <c r="AP42" s="96"/>
    </row>
    <row r="43" spans="1:43" ht="20.399999999999999" x14ac:dyDescent="0.3">
      <c r="A43" s="1">
        <v>1</v>
      </c>
      <c r="B43" s="910" t="s">
        <v>506</v>
      </c>
      <c r="C43" s="699">
        <f>((D43+E43+F43+G43+H43+I43+J43+K43+L43+M43+N43+O43+P43+Q43+R43+S43)/16)</f>
        <v>0</v>
      </c>
      <c r="D43" s="157"/>
      <c r="E43" s="156"/>
      <c r="F43" s="156"/>
      <c r="G43" s="157"/>
      <c r="H43" s="157"/>
      <c r="I43" s="157"/>
      <c r="J43" s="157"/>
      <c r="K43" s="156"/>
      <c r="L43" s="156"/>
      <c r="M43" s="157"/>
      <c r="N43" s="157"/>
      <c r="O43" s="156"/>
      <c r="P43" s="157"/>
      <c r="Q43" s="157"/>
      <c r="R43" s="156"/>
      <c r="S43" s="156"/>
      <c r="T43" s="114"/>
      <c r="U43" s="114"/>
      <c r="V43" s="2">
        <v>16</v>
      </c>
      <c r="W43" s="910" t="s">
        <v>492</v>
      </c>
      <c r="X43" s="699">
        <f>((Y43+Z43+AA43+AB43+AC43+AD43+AE43+AF43+AG43+AH43+AI43+AJ43+AK43+AL43+AM43+AN43)/16)</f>
        <v>0</v>
      </c>
      <c r="Y43" s="737"/>
      <c r="Z43" s="156"/>
      <c r="AA43" s="156"/>
      <c r="AB43" s="157"/>
      <c r="AC43" s="156"/>
      <c r="AD43" s="156"/>
      <c r="AE43" s="156"/>
      <c r="AF43" s="156"/>
      <c r="AG43" s="156"/>
      <c r="AH43" s="156"/>
      <c r="AI43" s="157"/>
      <c r="AJ43" s="157"/>
      <c r="AK43" s="157"/>
      <c r="AL43" s="157"/>
      <c r="AM43" s="156"/>
      <c r="AN43" s="156"/>
      <c r="AO43" s="116"/>
      <c r="AP43" s="116"/>
    </row>
    <row r="44" spans="1:43" ht="20.399999999999999" x14ac:dyDescent="0.3">
      <c r="A44" s="1">
        <v>2</v>
      </c>
      <c r="B44" s="910" t="s">
        <v>507</v>
      </c>
      <c r="C44" s="699">
        <f t="shared" ref="C44:C56" si="4">((D44+E44+F44+G44+H44+I44+J44+K44+L44+M44+N44+O44+P44+Q44+R44+S44)/16)</f>
        <v>0</v>
      </c>
      <c r="D44" s="156"/>
      <c r="E44" s="156"/>
      <c r="F44" s="156"/>
      <c r="G44" s="156"/>
      <c r="H44" s="156"/>
      <c r="I44" s="156"/>
      <c r="J44" s="157"/>
      <c r="K44" s="156"/>
      <c r="L44" s="156"/>
      <c r="M44" s="156"/>
      <c r="N44" s="156"/>
      <c r="O44" s="156"/>
      <c r="P44" s="156"/>
      <c r="Q44" s="157"/>
      <c r="R44" s="156"/>
      <c r="S44" s="156"/>
      <c r="T44" s="114"/>
      <c r="U44" s="114"/>
      <c r="V44" s="2">
        <v>17</v>
      </c>
      <c r="W44" s="910" t="s">
        <v>493</v>
      </c>
      <c r="X44" s="699">
        <f t="shared" ref="X44:X57" si="5">((Y44+Z44+AA44+AB44+AC44+AD44+AE44+AF44+AG44+AH44+AI44+AJ44+AK44+AL44+AM44+AN44)/16)</f>
        <v>0</v>
      </c>
      <c r="Y44" s="737"/>
      <c r="Z44" s="156"/>
      <c r="AA44" s="156"/>
      <c r="AB44" s="156"/>
      <c r="AC44" s="156"/>
      <c r="AD44" s="156"/>
      <c r="AE44" s="156"/>
      <c r="AF44" s="157"/>
      <c r="AG44" s="156"/>
      <c r="AH44" s="156"/>
      <c r="AI44" s="157"/>
      <c r="AJ44" s="157"/>
      <c r="AK44" s="156"/>
      <c r="AL44" s="157"/>
      <c r="AM44" s="156"/>
      <c r="AN44" s="156"/>
      <c r="AO44" s="116"/>
      <c r="AP44" s="116"/>
      <c r="AQ44" s="119"/>
    </row>
    <row r="45" spans="1:43" ht="20.399999999999999" x14ac:dyDescent="0.3">
      <c r="A45" s="1">
        <v>3</v>
      </c>
      <c r="B45" s="910" t="s">
        <v>508</v>
      </c>
      <c r="C45" s="699">
        <f t="shared" si="4"/>
        <v>0</v>
      </c>
      <c r="D45" s="156"/>
      <c r="E45" s="156"/>
      <c r="F45" s="156"/>
      <c r="G45" s="157"/>
      <c r="H45" s="156"/>
      <c r="I45" s="156"/>
      <c r="J45" s="156"/>
      <c r="K45" s="156"/>
      <c r="L45" s="156"/>
      <c r="M45" s="157"/>
      <c r="N45" s="157"/>
      <c r="O45" s="157"/>
      <c r="P45" s="156"/>
      <c r="Q45" s="157"/>
      <c r="R45" s="156"/>
      <c r="S45" s="156"/>
      <c r="T45" s="114"/>
      <c r="U45" s="114"/>
      <c r="V45" s="1">
        <v>18</v>
      </c>
      <c r="W45" s="912" t="s">
        <v>494</v>
      </c>
      <c r="X45" s="699">
        <f t="shared" si="5"/>
        <v>0</v>
      </c>
      <c r="Y45" s="737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  <c r="AL45" s="157"/>
      <c r="AM45" s="156"/>
      <c r="AN45" s="156"/>
      <c r="AO45" s="116"/>
      <c r="AP45" s="116"/>
      <c r="AQ45" s="119"/>
    </row>
    <row r="46" spans="1:43" ht="20.399999999999999" x14ac:dyDescent="0.3">
      <c r="A46" s="1">
        <v>4</v>
      </c>
      <c r="B46" s="910" t="s">
        <v>509</v>
      </c>
      <c r="C46" s="699">
        <f t="shared" si="4"/>
        <v>0</v>
      </c>
      <c r="D46" s="156"/>
      <c r="E46" s="156"/>
      <c r="F46" s="156"/>
      <c r="G46" s="156"/>
      <c r="H46" s="156"/>
      <c r="I46" s="156"/>
      <c r="J46" s="156"/>
      <c r="K46" s="156"/>
      <c r="L46" s="156"/>
      <c r="M46" s="158"/>
      <c r="N46" s="182"/>
      <c r="O46" s="158"/>
      <c r="P46" s="158"/>
      <c r="Q46" s="182"/>
      <c r="R46" s="158"/>
      <c r="S46" s="158"/>
      <c r="T46" s="115"/>
      <c r="U46" s="115"/>
      <c r="V46" s="2">
        <v>19</v>
      </c>
      <c r="W46" s="910" t="s">
        <v>495</v>
      </c>
      <c r="X46" s="699">
        <f t="shared" si="5"/>
        <v>0</v>
      </c>
      <c r="Y46" s="737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8"/>
      <c r="AK46" s="156"/>
      <c r="AL46" s="157"/>
      <c r="AM46" s="156"/>
      <c r="AN46" s="156"/>
      <c r="AO46" s="116"/>
      <c r="AP46" s="116"/>
      <c r="AQ46" s="119"/>
    </row>
    <row r="47" spans="1:43" ht="20.399999999999999" x14ac:dyDescent="0.3">
      <c r="A47" s="1">
        <v>5</v>
      </c>
      <c r="B47" s="910" t="s">
        <v>510</v>
      </c>
      <c r="C47" s="699">
        <f t="shared" si="4"/>
        <v>0</v>
      </c>
      <c r="D47" s="156"/>
      <c r="E47" s="159"/>
      <c r="F47" s="156"/>
      <c r="G47" s="156"/>
      <c r="H47" s="156"/>
      <c r="I47" s="156"/>
      <c r="J47" s="156"/>
      <c r="K47" s="156"/>
      <c r="L47" s="156"/>
      <c r="M47" s="157"/>
      <c r="N47" s="156"/>
      <c r="O47" s="157"/>
      <c r="P47" s="156"/>
      <c r="Q47" s="157"/>
      <c r="R47" s="156"/>
      <c r="S47" s="156"/>
      <c r="T47" s="114"/>
      <c r="U47" s="114"/>
      <c r="V47" s="2">
        <v>20</v>
      </c>
      <c r="W47" s="910" t="s">
        <v>496</v>
      </c>
      <c r="X47" s="699">
        <f t="shared" si="5"/>
        <v>0</v>
      </c>
      <c r="Y47" s="737"/>
      <c r="Z47" s="157"/>
      <c r="AA47" s="156"/>
      <c r="AB47" s="156"/>
      <c r="AC47" s="157"/>
      <c r="AD47" s="156"/>
      <c r="AE47" s="157"/>
      <c r="AF47" s="157"/>
      <c r="AG47" s="157"/>
      <c r="AH47" s="156"/>
      <c r="AI47" s="156"/>
      <c r="AJ47" s="156"/>
      <c r="AK47" s="156"/>
      <c r="AL47" s="157"/>
      <c r="AM47" s="156"/>
      <c r="AN47" s="156"/>
      <c r="AO47" s="116"/>
      <c r="AP47" s="116"/>
    </row>
    <row r="48" spans="1:43" ht="20.399999999999999" x14ac:dyDescent="0.3">
      <c r="A48" s="1">
        <v>6</v>
      </c>
      <c r="B48" s="910" t="s">
        <v>511</v>
      </c>
      <c r="C48" s="699">
        <f t="shared" si="4"/>
        <v>0</v>
      </c>
      <c r="D48" s="156"/>
      <c r="E48" s="159"/>
      <c r="F48" s="156"/>
      <c r="G48" s="156"/>
      <c r="H48" s="156"/>
      <c r="I48" s="156"/>
      <c r="J48" s="156"/>
      <c r="K48" s="156"/>
      <c r="L48" s="156"/>
      <c r="M48" s="156"/>
      <c r="N48" s="157"/>
      <c r="O48" s="157"/>
      <c r="P48" s="156"/>
      <c r="Q48" s="157"/>
      <c r="R48" s="156"/>
      <c r="S48" s="156"/>
      <c r="T48" s="114"/>
      <c r="U48" s="114"/>
      <c r="V48" s="1">
        <v>21</v>
      </c>
      <c r="W48" s="910" t="s">
        <v>497</v>
      </c>
      <c r="X48" s="699">
        <f t="shared" si="5"/>
        <v>0</v>
      </c>
      <c r="Y48" s="737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  <c r="AK48" s="156"/>
      <c r="AL48" s="157"/>
      <c r="AM48" s="156"/>
      <c r="AN48" s="156"/>
      <c r="AO48" s="116"/>
      <c r="AP48" s="116"/>
    </row>
    <row r="49" spans="1:43" ht="20.399999999999999" x14ac:dyDescent="0.3">
      <c r="A49" s="1">
        <v>7</v>
      </c>
      <c r="B49" s="910" t="s">
        <v>512</v>
      </c>
      <c r="C49" s="699">
        <f t="shared" si="4"/>
        <v>0</v>
      </c>
      <c r="D49" s="156"/>
      <c r="E49" s="156"/>
      <c r="F49" s="157"/>
      <c r="G49" s="156"/>
      <c r="H49" s="156"/>
      <c r="I49" s="156"/>
      <c r="J49" s="156"/>
      <c r="K49" s="157"/>
      <c r="L49" s="156"/>
      <c r="M49" s="156"/>
      <c r="N49" s="157"/>
      <c r="O49" s="157"/>
      <c r="P49" s="156"/>
      <c r="Q49" s="157"/>
      <c r="R49" s="156"/>
      <c r="S49" s="156"/>
      <c r="T49" s="114"/>
      <c r="U49" s="114"/>
      <c r="V49" s="2">
        <v>22</v>
      </c>
      <c r="W49" s="910" t="s">
        <v>498</v>
      </c>
      <c r="X49" s="699">
        <f t="shared" si="5"/>
        <v>0</v>
      </c>
      <c r="Y49" s="737"/>
      <c r="Z49" s="156"/>
      <c r="AA49" s="156"/>
      <c r="AB49" s="156"/>
      <c r="AC49" s="156"/>
      <c r="AD49" s="156"/>
      <c r="AE49" s="157"/>
      <c r="AF49" s="156"/>
      <c r="AG49" s="156"/>
      <c r="AH49" s="156"/>
      <c r="AI49" s="157"/>
      <c r="AJ49" s="157"/>
      <c r="AK49" s="157"/>
      <c r="AL49" s="157"/>
      <c r="AM49" s="156"/>
      <c r="AN49" s="156"/>
      <c r="AO49" s="116"/>
      <c r="AP49" s="116"/>
    </row>
    <row r="50" spans="1:43" ht="20.399999999999999" x14ac:dyDescent="0.3">
      <c r="A50" s="1">
        <v>8</v>
      </c>
      <c r="B50" s="910" t="s">
        <v>513</v>
      </c>
      <c r="C50" s="699">
        <f t="shared" si="4"/>
        <v>0</v>
      </c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7"/>
      <c r="R50" s="156"/>
      <c r="S50" s="156"/>
      <c r="T50" s="114"/>
      <c r="U50" s="114"/>
      <c r="V50" s="2">
        <v>23</v>
      </c>
      <c r="W50" s="910" t="s">
        <v>499</v>
      </c>
      <c r="X50" s="699">
        <f t="shared" si="5"/>
        <v>0</v>
      </c>
      <c r="Y50" s="737"/>
      <c r="Z50" s="156"/>
      <c r="AA50" s="156"/>
      <c r="AB50" s="157"/>
      <c r="AC50" s="156"/>
      <c r="AD50" s="156"/>
      <c r="AE50" s="156"/>
      <c r="AF50" s="157"/>
      <c r="AG50" s="156"/>
      <c r="AH50" s="156"/>
      <c r="AI50" s="156"/>
      <c r="AJ50" s="156"/>
      <c r="AK50" s="156"/>
      <c r="AL50" s="157"/>
      <c r="AM50" s="156"/>
      <c r="AN50" s="156"/>
      <c r="AO50" s="116"/>
      <c r="AP50" s="116"/>
    </row>
    <row r="51" spans="1:43" x14ac:dyDescent="0.3">
      <c r="A51" s="1">
        <v>9</v>
      </c>
      <c r="B51" s="910" t="s">
        <v>514</v>
      </c>
      <c r="C51" s="699">
        <f t="shared" si="4"/>
        <v>0</v>
      </c>
      <c r="D51" s="156"/>
      <c r="E51" s="156"/>
      <c r="F51" s="156"/>
      <c r="G51" s="156"/>
      <c r="H51" s="159"/>
      <c r="I51" s="156"/>
      <c r="J51" s="156"/>
      <c r="K51" s="156"/>
      <c r="L51" s="156"/>
      <c r="M51" s="156"/>
      <c r="N51" s="156"/>
      <c r="O51" s="156"/>
      <c r="P51" s="156"/>
      <c r="Q51" s="157"/>
      <c r="R51" s="156"/>
      <c r="S51" s="156"/>
      <c r="T51" s="114"/>
      <c r="U51" s="114"/>
      <c r="V51" s="1">
        <v>24</v>
      </c>
      <c r="W51" s="910" t="s">
        <v>500</v>
      </c>
      <c r="X51" s="699">
        <f t="shared" si="5"/>
        <v>0</v>
      </c>
      <c r="Y51" s="737"/>
      <c r="Z51" s="156"/>
      <c r="AA51" s="156"/>
      <c r="AB51" s="156"/>
      <c r="AC51" s="156"/>
      <c r="AD51" s="156"/>
      <c r="AE51" s="156"/>
      <c r="AF51" s="156"/>
      <c r="AG51" s="156"/>
      <c r="AH51" s="157"/>
      <c r="AI51" s="157"/>
      <c r="AJ51" s="157"/>
      <c r="AK51" s="157"/>
      <c r="AL51" s="157"/>
      <c r="AM51" s="156"/>
      <c r="AN51" s="157"/>
      <c r="AO51" s="116"/>
      <c r="AP51" s="116"/>
    </row>
    <row r="52" spans="1:43" ht="20.399999999999999" x14ac:dyDescent="0.3">
      <c r="A52" s="1">
        <v>10</v>
      </c>
      <c r="B52" s="911" t="s">
        <v>515</v>
      </c>
      <c r="C52" s="699">
        <f t="shared" si="4"/>
        <v>0</v>
      </c>
      <c r="D52" s="157"/>
      <c r="E52" s="157"/>
      <c r="F52" s="156"/>
      <c r="G52" s="157"/>
      <c r="H52" s="157"/>
      <c r="I52" s="157"/>
      <c r="J52" s="157"/>
      <c r="K52" s="157"/>
      <c r="L52" s="157"/>
      <c r="M52" s="157"/>
      <c r="N52" s="157"/>
      <c r="O52" s="157"/>
      <c r="P52" s="156"/>
      <c r="Q52" s="157"/>
      <c r="R52" s="156"/>
      <c r="S52" s="157"/>
      <c r="T52" s="114"/>
      <c r="U52" s="114"/>
      <c r="V52" s="2">
        <v>25</v>
      </c>
      <c r="W52" s="910" t="s">
        <v>501</v>
      </c>
      <c r="X52" s="699">
        <f t="shared" si="5"/>
        <v>0</v>
      </c>
      <c r="Y52" s="73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157"/>
      <c r="AL52" s="157"/>
      <c r="AM52" s="157"/>
      <c r="AN52" s="157"/>
      <c r="AO52" s="116"/>
      <c r="AP52" s="116"/>
    </row>
    <row r="53" spans="1:43" ht="20.399999999999999" x14ac:dyDescent="0.3">
      <c r="A53" s="1">
        <v>11</v>
      </c>
      <c r="B53" s="910" t="s">
        <v>516</v>
      </c>
      <c r="C53" s="699">
        <f t="shared" si="4"/>
        <v>0</v>
      </c>
      <c r="D53" s="156"/>
      <c r="E53" s="156"/>
      <c r="F53" s="156"/>
      <c r="G53" s="156"/>
      <c r="H53" s="156"/>
      <c r="I53" s="156"/>
      <c r="J53" s="156"/>
      <c r="K53" s="157"/>
      <c r="L53" s="156"/>
      <c r="M53" s="156"/>
      <c r="N53" s="157"/>
      <c r="O53" s="156"/>
      <c r="P53" s="157"/>
      <c r="Q53" s="157"/>
      <c r="R53" s="156"/>
      <c r="S53" s="156"/>
      <c r="T53" s="114"/>
      <c r="U53" s="114"/>
      <c r="V53" s="2">
        <v>26</v>
      </c>
      <c r="W53" s="913" t="s">
        <v>502</v>
      </c>
      <c r="X53" s="699">
        <f t="shared" si="5"/>
        <v>0</v>
      </c>
      <c r="Y53" s="737"/>
      <c r="Z53" s="156"/>
      <c r="AA53" s="156"/>
      <c r="AB53" s="156"/>
      <c r="AC53" s="159"/>
      <c r="AD53" s="156"/>
      <c r="AE53" s="156"/>
      <c r="AF53" s="156"/>
      <c r="AG53" s="156"/>
      <c r="AH53" s="157"/>
      <c r="AI53" s="156"/>
      <c r="AJ53" s="157"/>
      <c r="AK53" s="156"/>
      <c r="AL53" s="157"/>
      <c r="AM53" s="156"/>
      <c r="AN53" s="156"/>
      <c r="AO53" s="116"/>
      <c r="AP53" s="116"/>
    </row>
    <row r="54" spans="1:43" x14ac:dyDescent="0.3">
      <c r="A54" s="1">
        <v>12</v>
      </c>
      <c r="B54" s="910" t="s">
        <v>517</v>
      </c>
      <c r="C54" s="699">
        <f t="shared" si="4"/>
        <v>0</v>
      </c>
      <c r="D54" s="156"/>
      <c r="E54" s="156"/>
      <c r="F54" s="157"/>
      <c r="G54" s="156"/>
      <c r="H54" s="156"/>
      <c r="I54" s="156"/>
      <c r="J54" s="156"/>
      <c r="K54" s="156"/>
      <c r="L54" s="156"/>
      <c r="M54" s="157"/>
      <c r="N54" s="157"/>
      <c r="O54" s="157"/>
      <c r="P54" s="156"/>
      <c r="Q54" s="157"/>
      <c r="R54" s="156"/>
      <c r="S54" s="156"/>
      <c r="T54" s="114"/>
      <c r="U54" s="114"/>
      <c r="V54" s="1">
        <v>27</v>
      </c>
      <c r="W54" s="914" t="s">
        <v>491</v>
      </c>
      <c r="X54" s="699">
        <f t="shared" si="5"/>
        <v>0</v>
      </c>
      <c r="Y54" s="737"/>
      <c r="Z54" s="156"/>
      <c r="AA54" s="156"/>
      <c r="AB54" s="156"/>
      <c r="AC54" s="157"/>
      <c r="AD54" s="157"/>
      <c r="AE54" s="156"/>
      <c r="AF54" s="156"/>
      <c r="AG54" s="156"/>
      <c r="AH54" s="157"/>
      <c r="AI54" s="157"/>
      <c r="AJ54" s="156"/>
      <c r="AK54" s="156"/>
      <c r="AL54" s="157"/>
      <c r="AM54" s="156"/>
      <c r="AN54" s="156"/>
      <c r="AO54" s="116"/>
      <c r="AP54" s="116"/>
    </row>
    <row r="55" spans="1:43" ht="20.399999999999999" x14ac:dyDescent="0.3">
      <c r="A55" s="1">
        <v>13</v>
      </c>
      <c r="B55" s="910" t="s">
        <v>518</v>
      </c>
      <c r="C55" s="699">
        <f t="shared" si="4"/>
        <v>0</v>
      </c>
      <c r="D55" s="156"/>
      <c r="E55" s="156"/>
      <c r="F55" s="156"/>
      <c r="G55" s="156"/>
      <c r="H55" s="156"/>
      <c r="I55" s="156"/>
      <c r="J55" s="157"/>
      <c r="K55" s="156"/>
      <c r="L55" s="156"/>
      <c r="M55" s="156"/>
      <c r="N55" s="157"/>
      <c r="O55" s="156"/>
      <c r="P55" s="156"/>
      <c r="Q55" s="157"/>
      <c r="R55" s="156"/>
      <c r="S55" s="156"/>
      <c r="T55" s="114"/>
      <c r="U55" s="114"/>
      <c r="V55" s="2">
        <v>28</v>
      </c>
      <c r="W55" s="910" t="s">
        <v>503</v>
      </c>
      <c r="X55" s="699">
        <f t="shared" si="5"/>
        <v>0</v>
      </c>
      <c r="Y55" s="737"/>
      <c r="Z55" s="156"/>
      <c r="AA55" s="156"/>
      <c r="AB55" s="156"/>
      <c r="AC55" s="156"/>
      <c r="AD55" s="156"/>
      <c r="AE55" s="156"/>
      <c r="AF55" s="156"/>
      <c r="AG55" s="156"/>
      <c r="AH55" s="157"/>
      <c r="AI55" s="156"/>
      <c r="AJ55" s="156"/>
      <c r="AK55" s="157"/>
      <c r="AL55" s="157"/>
      <c r="AM55" s="171"/>
      <c r="AN55" s="171"/>
      <c r="AO55" s="116"/>
      <c r="AP55" s="116"/>
    </row>
    <row r="56" spans="1:43" ht="20.399999999999999" x14ac:dyDescent="0.3">
      <c r="A56" s="1">
        <v>14</v>
      </c>
      <c r="B56" s="910" t="s">
        <v>519</v>
      </c>
      <c r="C56" s="699">
        <f t="shared" si="4"/>
        <v>0</v>
      </c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7"/>
      <c r="R56" s="156"/>
      <c r="S56" s="156"/>
      <c r="T56" s="114"/>
      <c r="U56" s="114"/>
      <c r="V56" s="2">
        <v>29</v>
      </c>
      <c r="W56" s="910" t="s">
        <v>504</v>
      </c>
      <c r="X56" s="699">
        <f t="shared" si="5"/>
        <v>0</v>
      </c>
      <c r="Y56" s="737"/>
      <c r="Z56" s="156"/>
      <c r="AA56" s="156"/>
      <c r="AB56" s="156"/>
      <c r="AC56" s="156"/>
      <c r="AD56" s="156"/>
      <c r="AE56" s="156"/>
      <c r="AF56" s="156"/>
      <c r="AG56" s="157"/>
      <c r="AH56" s="156"/>
      <c r="AI56" s="156"/>
      <c r="AJ56" s="156"/>
      <c r="AK56" s="157"/>
      <c r="AL56" s="157"/>
      <c r="AM56" s="171"/>
      <c r="AN56" s="171"/>
      <c r="AO56" s="116"/>
      <c r="AP56" s="116"/>
    </row>
    <row r="57" spans="1:43" ht="19.8" customHeight="1" x14ac:dyDescent="0.3">
      <c r="A57" s="1">
        <v>15</v>
      </c>
      <c r="B57" s="910" t="s">
        <v>520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1">
        <v>30</v>
      </c>
      <c r="W57" s="910" t="s">
        <v>505</v>
      </c>
      <c r="X57" s="699">
        <f t="shared" si="5"/>
        <v>0</v>
      </c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3" ht="21" x14ac:dyDescent="0.3">
      <c r="A58" s="757" t="s">
        <v>48</v>
      </c>
      <c r="B58" s="757"/>
      <c r="C58" s="757"/>
      <c r="D58" s="757"/>
      <c r="E58" s="757"/>
      <c r="F58" s="757"/>
      <c r="G58" s="757"/>
      <c r="H58" s="757"/>
      <c r="I58" s="757"/>
      <c r="J58" s="757"/>
      <c r="K58" s="757"/>
      <c r="L58" s="757"/>
      <c r="M58" s="757"/>
      <c r="N58" s="757"/>
      <c r="O58" s="757"/>
      <c r="P58" s="757"/>
      <c r="Q58" s="757"/>
      <c r="R58" s="757"/>
      <c r="S58" s="757"/>
      <c r="T58" s="757"/>
      <c r="U58" s="757"/>
      <c r="V58" s="757"/>
      <c r="W58" s="757"/>
      <c r="X58" s="757"/>
      <c r="Y58" s="757"/>
      <c r="Z58" s="757"/>
      <c r="AA58" s="757"/>
      <c r="AB58" s="757"/>
      <c r="AC58" s="757"/>
      <c r="AD58" s="757"/>
      <c r="AE58" s="757"/>
      <c r="AF58" s="757"/>
      <c r="AG58" s="757"/>
      <c r="AH58" s="757"/>
      <c r="AI58" s="757"/>
      <c r="AJ58" s="757"/>
      <c r="AK58" s="757"/>
      <c r="AL58" s="757"/>
      <c r="AM58" s="757"/>
      <c r="AN58" s="757"/>
      <c r="AO58" s="757"/>
      <c r="AP58" s="757"/>
    </row>
    <row r="59" spans="1:43" ht="18" x14ac:dyDescent="0.3">
      <c r="A59" s="758" t="s">
        <v>34</v>
      </c>
      <c r="B59" s="759"/>
      <c r="C59" s="760" t="s">
        <v>1</v>
      </c>
      <c r="D59" s="767" t="s">
        <v>55</v>
      </c>
      <c r="E59" s="767"/>
      <c r="F59" s="767"/>
      <c r="G59" s="767"/>
      <c r="H59" s="767"/>
      <c r="I59" s="767"/>
      <c r="J59" s="767"/>
      <c r="K59" s="767"/>
      <c r="L59" s="767"/>
      <c r="M59" s="767"/>
      <c r="N59" s="767"/>
      <c r="O59" s="767"/>
      <c r="P59" s="767"/>
      <c r="Q59" s="767"/>
      <c r="R59" s="767"/>
      <c r="S59" s="767"/>
      <c r="T59" s="767"/>
      <c r="U59" s="767"/>
      <c r="V59" s="762" t="s">
        <v>34</v>
      </c>
      <c r="W59" s="759"/>
      <c r="X59" s="760" t="s">
        <v>1</v>
      </c>
      <c r="Y59" s="767" t="s">
        <v>55</v>
      </c>
      <c r="Z59" s="767"/>
      <c r="AA59" s="767"/>
      <c r="AB59" s="767"/>
      <c r="AC59" s="767"/>
      <c r="AD59" s="767"/>
      <c r="AE59" s="767"/>
      <c r="AF59" s="767"/>
      <c r="AG59" s="767"/>
      <c r="AH59" s="767"/>
      <c r="AI59" s="767"/>
      <c r="AJ59" s="767"/>
      <c r="AK59" s="767"/>
      <c r="AL59" s="767"/>
      <c r="AM59" s="767"/>
      <c r="AN59" s="767"/>
      <c r="AO59" s="767"/>
      <c r="AP59" s="767"/>
    </row>
    <row r="60" spans="1:43" x14ac:dyDescent="0.3">
      <c r="A60" s="758"/>
      <c r="B60" s="759"/>
      <c r="C60" s="760"/>
      <c r="D60" s="70">
        <v>1</v>
      </c>
      <c r="E60" s="95">
        <v>2</v>
      </c>
      <c r="F60" s="95">
        <v>3</v>
      </c>
      <c r="G60" s="95">
        <v>4</v>
      </c>
      <c r="H60" s="95">
        <v>5</v>
      </c>
      <c r="I60" s="95">
        <v>6</v>
      </c>
      <c r="J60" s="95">
        <v>7</v>
      </c>
      <c r="K60" s="95">
        <v>8</v>
      </c>
      <c r="L60" s="95">
        <v>9</v>
      </c>
      <c r="M60" s="95">
        <v>10</v>
      </c>
      <c r="N60" s="95">
        <v>11</v>
      </c>
      <c r="O60" s="95">
        <v>12</v>
      </c>
      <c r="P60" s="95">
        <v>13</v>
      </c>
      <c r="Q60" s="95">
        <v>14</v>
      </c>
      <c r="R60" s="95">
        <v>15</v>
      </c>
      <c r="S60" s="95">
        <v>16</v>
      </c>
      <c r="T60" s="95">
        <v>17</v>
      </c>
      <c r="U60" s="95">
        <v>18</v>
      </c>
      <c r="V60" s="762"/>
      <c r="W60" s="759"/>
      <c r="X60" s="760"/>
      <c r="Y60" s="70">
        <v>1</v>
      </c>
      <c r="Z60" s="95">
        <v>2</v>
      </c>
      <c r="AA60" s="95">
        <v>3</v>
      </c>
      <c r="AB60" s="95">
        <v>4</v>
      </c>
      <c r="AC60" s="95">
        <v>5</v>
      </c>
      <c r="AD60" s="95">
        <v>6</v>
      </c>
      <c r="AE60" s="95">
        <v>7</v>
      </c>
      <c r="AF60" s="95">
        <v>8</v>
      </c>
      <c r="AG60" s="95">
        <v>9</v>
      </c>
      <c r="AH60" s="95">
        <v>10</v>
      </c>
      <c r="AI60" s="95">
        <v>11</v>
      </c>
      <c r="AJ60" s="72">
        <v>12</v>
      </c>
      <c r="AK60" s="72">
        <v>13</v>
      </c>
      <c r="AL60" s="72">
        <v>14</v>
      </c>
      <c r="AM60" s="72">
        <v>15</v>
      </c>
      <c r="AN60" s="72">
        <v>16</v>
      </c>
      <c r="AO60" s="72">
        <v>17</v>
      </c>
      <c r="AP60" s="72">
        <v>18</v>
      </c>
    </row>
    <row r="61" spans="1:43" ht="127.8" customHeight="1" x14ac:dyDescent="0.3">
      <c r="A61" s="758"/>
      <c r="B61" s="759"/>
      <c r="C61" s="760"/>
      <c r="D61" s="739" t="s">
        <v>479</v>
      </c>
      <c r="E61" s="739" t="s">
        <v>480</v>
      </c>
      <c r="F61" s="150"/>
      <c r="G61" s="151"/>
      <c r="H61" s="96"/>
      <c r="I61" s="96"/>
      <c r="J61" s="96"/>
      <c r="K61" s="96"/>
      <c r="L61" s="96"/>
      <c r="M61" s="96"/>
      <c r="N61" s="96"/>
      <c r="O61" s="96"/>
      <c r="P61" s="96"/>
      <c r="Q61" s="75"/>
      <c r="R61" s="96"/>
      <c r="S61" s="96"/>
      <c r="T61" s="96"/>
      <c r="U61" s="96"/>
      <c r="V61" s="762"/>
      <c r="W61" s="759"/>
      <c r="X61" s="760"/>
      <c r="Y61" s="739" t="s">
        <v>479</v>
      </c>
      <c r="Z61" s="739" t="s">
        <v>480</v>
      </c>
      <c r="AA61" s="150"/>
      <c r="AB61" s="151"/>
      <c r="AC61" s="96"/>
      <c r="AD61" s="96"/>
      <c r="AE61" s="96"/>
      <c r="AF61" s="78"/>
      <c r="AG61" s="78"/>
      <c r="AH61" s="96"/>
      <c r="AI61" s="96"/>
      <c r="AJ61" s="96"/>
      <c r="AK61" s="96"/>
      <c r="AL61" s="75"/>
      <c r="AM61" s="96"/>
      <c r="AN61" s="96"/>
      <c r="AO61" s="96"/>
      <c r="AP61" s="96"/>
    </row>
    <row r="62" spans="1:43" ht="17.399999999999999" customHeight="1" x14ac:dyDescent="0.3">
      <c r="A62" s="1">
        <v>1</v>
      </c>
      <c r="B62" s="910" t="s">
        <v>506</v>
      </c>
      <c r="C62" s="699">
        <f>((D62+E62+F62+G62+H62+I62+J62+K62+L62+M62+N62+O62+P62+Q62+R62+S62)/16)</f>
        <v>4.0625</v>
      </c>
      <c r="D62" s="157">
        <v>30</v>
      </c>
      <c r="E62" s="156">
        <v>35</v>
      </c>
      <c r="F62" s="156"/>
      <c r="G62" s="157"/>
      <c r="H62" s="157"/>
      <c r="I62" s="157"/>
      <c r="J62" s="157"/>
      <c r="K62" s="156"/>
      <c r="L62" s="156"/>
      <c r="M62" s="157"/>
      <c r="N62" s="157"/>
      <c r="O62" s="156"/>
      <c r="P62" s="157"/>
      <c r="Q62" s="157"/>
      <c r="R62" s="156"/>
      <c r="S62" s="156"/>
      <c r="T62" s="114"/>
      <c r="U62" s="114"/>
      <c r="V62" s="2">
        <v>16</v>
      </c>
      <c r="W62" s="910" t="s">
        <v>492</v>
      </c>
      <c r="X62" s="699">
        <f>((Y62+Z62+AA62+AB62+AC62+AD62+AE62+AF62+AG62+AH62+AI62+AJ62+AK62+AL62+AM62+AN62)/16)</f>
        <v>4.25</v>
      </c>
      <c r="Y62" s="737">
        <v>35</v>
      </c>
      <c r="Z62" s="156">
        <v>33</v>
      </c>
      <c r="AA62" s="156"/>
      <c r="AB62" s="157"/>
      <c r="AC62" s="156"/>
      <c r="AD62" s="156"/>
      <c r="AE62" s="156"/>
      <c r="AF62" s="156"/>
      <c r="AG62" s="156"/>
      <c r="AH62" s="156"/>
      <c r="AI62" s="157"/>
      <c r="AJ62" s="157"/>
      <c r="AK62" s="157"/>
      <c r="AL62" s="157"/>
      <c r="AM62" s="156"/>
      <c r="AN62" s="156"/>
      <c r="AO62" s="116"/>
      <c r="AP62" s="116"/>
    </row>
    <row r="63" spans="1:43" ht="17.399999999999999" customHeight="1" x14ac:dyDescent="0.3">
      <c r="A63" s="1">
        <v>2</v>
      </c>
      <c r="B63" s="910" t="s">
        <v>507</v>
      </c>
      <c r="C63" s="699">
        <f t="shared" ref="C63:C76" si="6">((D63+E63+F63+G63+H63+I63+J63+K63+L63+M63+N63+O63+P63+Q63+R63+S63)/16)</f>
        <v>4.3125</v>
      </c>
      <c r="D63" s="156">
        <v>35</v>
      </c>
      <c r="E63" s="156">
        <v>34</v>
      </c>
      <c r="F63" s="156"/>
      <c r="G63" s="156"/>
      <c r="H63" s="156"/>
      <c r="I63" s="156"/>
      <c r="J63" s="157"/>
      <c r="K63" s="156"/>
      <c r="L63" s="156"/>
      <c r="M63" s="156"/>
      <c r="N63" s="156"/>
      <c r="O63" s="156"/>
      <c r="P63" s="156"/>
      <c r="Q63" s="157"/>
      <c r="R63" s="156"/>
      <c r="S63" s="156"/>
      <c r="T63" s="114"/>
      <c r="U63" s="114"/>
      <c r="V63" s="2">
        <v>17</v>
      </c>
      <c r="W63" s="910" t="s">
        <v>493</v>
      </c>
      <c r="X63" s="699">
        <f t="shared" ref="X63:X76" si="7">((Y63+Z63+AA63+AB63+AC63+AD63+AE63+AF63+AG63+AH63+AI63+AJ63+AK63+AL63+AM63+AN63)/16)</f>
        <v>2.1875</v>
      </c>
      <c r="Y63" s="737"/>
      <c r="Z63" s="156">
        <v>35</v>
      </c>
      <c r="AA63" s="156"/>
      <c r="AB63" s="156"/>
      <c r="AC63" s="156"/>
      <c r="AD63" s="156"/>
      <c r="AE63" s="156"/>
      <c r="AF63" s="157"/>
      <c r="AG63" s="156"/>
      <c r="AH63" s="156"/>
      <c r="AI63" s="157"/>
      <c r="AJ63" s="157"/>
      <c r="AK63" s="156"/>
      <c r="AL63" s="157"/>
      <c r="AM63" s="156"/>
      <c r="AN63" s="156"/>
      <c r="AO63" s="116"/>
      <c r="AP63" s="116"/>
      <c r="AQ63" s="178"/>
    </row>
    <row r="64" spans="1:43" ht="17.399999999999999" customHeight="1" x14ac:dyDescent="0.3">
      <c r="A64" s="1">
        <v>3</v>
      </c>
      <c r="B64" s="910" t="s">
        <v>508</v>
      </c>
      <c r="C64" s="699">
        <f t="shared" si="6"/>
        <v>4.25</v>
      </c>
      <c r="D64" s="156">
        <v>35</v>
      </c>
      <c r="E64" s="156">
        <v>33</v>
      </c>
      <c r="F64" s="156"/>
      <c r="G64" s="157"/>
      <c r="H64" s="156"/>
      <c r="I64" s="156"/>
      <c r="J64" s="156"/>
      <c r="K64" s="156"/>
      <c r="L64" s="156"/>
      <c r="M64" s="157"/>
      <c r="N64" s="157"/>
      <c r="O64" s="157"/>
      <c r="P64" s="156"/>
      <c r="Q64" s="157"/>
      <c r="R64" s="156"/>
      <c r="S64" s="156"/>
      <c r="T64" s="114"/>
      <c r="U64" s="114"/>
      <c r="V64" s="1">
        <v>18</v>
      </c>
      <c r="W64" s="912" t="s">
        <v>494</v>
      </c>
      <c r="X64" s="699">
        <f t="shared" si="7"/>
        <v>4.25</v>
      </c>
      <c r="Y64" s="737">
        <v>33</v>
      </c>
      <c r="Z64" s="156">
        <v>35</v>
      </c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7"/>
      <c r="AM64" s="156"/>
      <c r="AN64" s="156"/>
      <c r="AO64" s="116"/>
      <c r="AP64" s="116"/>
      <c r="AQ64" s="178"/>
    </row>
    <row r="65" spans="1:43" ht="17.399999999999999" customHeight="1" x14ac:dyDescent="0.3">
      <c r="A65" s="1">
        <v>4</v>
      </c>
      <c r="B65" s="910" t="s">
        <v>509</v>
      </c>
      <c r="C65" s="699">
        <f t="shared" si="6"/>
        <v>0</v>
      </c>
      <c r="D65" s="156"/>
      <c r="E65" s="156"/>
      <c r="F65" s="156"/>
      <c r="G65" s="156"/>
      <c r="H65" s="156"/>
      <c r="I65" s="156"/>
      <c r="J65" s="156"/>
      <c r="K65" s="156"/>
      <c r="L65" s="156"/>
      <c r="M65" s="158"/>
      <c r="N65" s="182"/>
      <c r="O65" s="158"/>
      <c r="P65" s="158"/>
      <c r="Q65" s="182"/>
      <c r="R65" s="158"/>
      <c r="S65" s="158"/>
      <c r="T65" s="115"/>
      <c r="U65" s="115"/>
      <c r="V65" s="2">
        <v>19</v>
      </c>
      <c r="W65" s="910" t="s">
        <v>495</v>
      </c>
      <c r="X65" s="699">
        <f t="shared" si="7"/>
        <v>4.25</v>
      </c>
      <c r="Y65" s="737">
        <v>35</v>
      </c>
      <c r="Z65" s="156">
        <v>33</v>
      </c>
      <c r="AA65" s="156"/>
      <c r="AB65" s="156"/>
      <c r="AC65" s="156"/>
      <c r="AD65" s="156"/>
      <c r="AE65" s="156"/>
      <c r="AF65" s="156"/>
      <c r="AG65" s="156"/>
      <c r="AH65" s="156"/>
      <c r="AI65" s="156"/>
      <c r="AJ65" s="158"/>
      <c r="AK65" s="156"/>
      <c r="AL65" s="157"/>
      <c r="AM65" s="156"/>
      <c r="AN65" s="156"/>
      <c r="AO65" s="116"/>
      <c r="AP65" s="116"/>
      <c r="AQ65" s="178"/>
    </row>
    <row r="66" spans="1:43" ht="17.399999999999999" customHeight="1" x14ac:dyDescent="0.3">
      <c r="A66" s="1">
        <v>5</v>
      </c>
      <c r="B66" s="910" t="s">
        <v>510</v>
      </c>
      <c r="C66" s="699">
        <f t="shared" si="6"/>
        <v>4.375</v>
      </c>
      <c r="D66" s="156">
        <v>35</v>
      </c>
      <c r="E66" s="159">
        <v>35</v>
      </c>
      <c r="F66" s="156"/>
      <c r="G66" s="156"/>
      <c r="H66" s="156"/>
      <c r="I66" s="156"/>
      <c r="J66" s="156"/>
      <c r="K66" s="156"/>
      <c r="L66" s="156"/>
      <c r="M66" s="157"/>
      <c r="N66" s="156"/>
      <c r="O66" s="157"/>
      <c r="P66" s="156"/>
      <c r="Q66" s="157"/>
      <c r="R66" s="156"/>
      <c r="S66" s="156"/>
      <c r="T66" s="114"/>
      <c r="U66" s="114"/>
      <c r="V66" s="2">
        <v>20</v>
      </c>
      <c r="W66" s="910" t="s">
        <v>496</v>
      </c>
      <c r="X66" s="699">
        <f t="shared" si="7"/>
        <v>4.375</v>
      </c>
      <c r="Y66" s="737">
        <v>35</v>
      </c>
      <c r="Z66" s="157">
        <v>35</v>
      </c>
      <c r="AA66" s="156"/>
      <c r="AB66" s="156"/>
      <c r="AC66" s="157"/>
      <c r="AD66" s="156"/>
      <c r="AE66" s="157"/>
      <c r="AF66" s="157"/>
      <c r="AG66" s="157"/>
      <c r="AH66" s="156"/>
      <c r="AI66" s="156"/>
      <c r="AJ66" s="156"/>
      <c r="AK66" s="156"/>
      <c r="AL66" s="157"/>
      <c r="AM66" s="156"/>
      <c r="AN66" s="156"/>
      <c r="AO66" s="116"/>
      <c r="AP66" s="116"/>
    </row>
    <row r="67" spans="1:43" ht="17.399999999999999" customHeight="1" x14ac:dyDescent="0.3">
      <c r="A67" s="1">
        <v>6</v>
      </c>
      <c r="B67" s="910" t="s">
        <v>511</v>
      </c>
      <c r="C67" s="699">
        <f t="shared" si="6"/>
        <v>4.25</v>
      </c>
      <c r="D67" s="156">
        <v>33</v>
      </c>
      <c r="E67" s="159">
        <v>35</v>
      </c>
      <c r="F67" s="156"/>
      <c r="G67" s="156"/>
      <c r="H67" s="156"/>
      <c r="I67" s="156"/>
      <c r="J67" s="156"/>
      <c r="K67" s="156"/>
      <c r="L67" s="156"/>
      <c r="M67" s="156"/>
      <c r="N67" s="157"/>
      <c r="O67" s="157"/>
      <c r="P67" s="156"/>
      <c r="Q67" s="157"/>
      <c r="R67" s="156"/>
      <c r="S67" s="156"/>
      <c r="T67" s="114"/>
      <c r="U67" s="114"/>
      <c r="V67" s="1">
        <v>21</v>
      </c>
      <c r="W67" s="910" t="s">
        <v>497</v>
      </c>
      <c r="X67" s="699">
        <f t="shared" si="7"/>
        <v>1.75</v>
      </c>
      <c r="Y67" s="737"/>
      <c r="Z67" s="156">
        <v>28</v>
      </c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7"/>
      <c r="AM67" s="156"/>
      <c r="AN67" s="156"/>
      <c r="AO67" s="116"/>
      <c r="AP67" s="116"/>
    </row>
    <row r="68" spans="1:43" ht="17.399999999999999" customHeight="1" x14ac:dyDescent="0.3">
      <c r="A68" s="1">
        <v>7</v>
      </c>
      <c r="B68" s="910" t="s">
        <v>512</v>
      </c>
      <c r="C68" s="699">
        <f t="shared" si="6"/>
        <v>4.0625</v>
      </c>
      <c r="D68" s="156">
        <v>30</v>
      </c>
      <c r="E68" s="156">
        <v>35</v>
      </c>
      <c r="F68" s="157"/>
      <c r="G68" s="156"/>
      <c r="H68" s="156"/>
      <c r="I68" s="156"/>
      <c r="J68" s="156"/>
      <c r="K68" s="157"/>
      <c r="L68" s="156"/>
      <c r="M68" s="156"/>
      <c r="N68" s="157"/>
      <c r="O68" s="157"/>
      <c r="P68" s="156"/>
      <c r="Q68" s="157"/>
      <c r="R68" s="156"/>
      <c r="S68" s="156"/>
      <c r="T68" s="114"/>
      <c r="U68" s="114"/>
      <c r="V68" s="2">
        <v>22</v>
      </c>
      <c r="W68" s="910" t="s">
        <v>498</v>
      </c>
      <c r="X68" s="699">
        <f t="shared" si="7"/>
        <v>4.25</v>
      </c>
      <c r="Y68" s="737">
        <v>35</v>
      </c>
      <c r="Z68" s="156">
        <v>33</v>
      </c>
      <c r="AA68" s="156"/>
      <c r="AB68" s="156"/>
      <c r="AC68" s="156"/>
      <c r="AD68" s="156"/>
      <c r="AE68" s="157"/>
      <c r="AF68" s="156"/>
      <c r="AG68" s="156"/>
      <c r="AH68" s="156"/>
      <c r="AI68" s="157"/>
      <c r="AJ68" s="157"/>
      <c r="AK68" s="157"/>
      <c r="AL68" s="157"/>
      <c r="AM68" s="156"/>
      <c r="AN68" s="156"/>
      <c r="AO68" s="116"/>
      <c r="AP68" s="116"/>
    </row>
    <row r="69" spans="1:43" ht="17.399999999999999" customHeight="1" x14ac:dyDescent="0.3">
      <c r="A69" s="1">
        <v>8</v>
      </c>
      <c r="B69" s="910" t="s">
        <v>513</v>
      </c>
      <c r="C69" s="699">
        <f t="shared" si="6"/>
        <v>2.125</v>
      </c>
      <c r="D69" s="156"/>
      <c r="E69" s="156">
        <v>34</v>
      </c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7"/>
      <c r="R69" s="156"/>
      <c r="S69" s="156"/>
      <c r="T69" s="114"/>
      <c r="U69" s="114"/>
      <c r="V69" s="2">
        <v>23</v>
      </c>
      <c r="W69" s="910" t="s">
        <v>499</v>
      </c>
      <c r="X69" s="699">
        <f t="shared" si="7"/>
        <v>3.9375</v>
      </c>
      <c r="Y69" s="737">
        <v>28</v>
      </c>
      <c r="Z69" s="156">
        <v>35</v>
      </c>
      <c r="AA69" s="156"/>
      <c r="AB69" s="157"/>
      <c r="AC69" s="156"/>
      <c r="AD69" s="156"/>
      <c r="AE69" s="156"/>
      <c r="AF69" s="157"/>
      <c r="AG69" s="156"/>
      <c r="AH69" s="156"/>
      <c r="AI69" s="156"/>
      <c r="AJ69" s="156"/>
      <c r="AK69" s="156"/>
      <c r="AL69" s="157"/>
      <c r="AM69" s="156"/>
      <c r="AN69" s="156"/>
      <c r="AO69" s="116"/>
      <c r="AP69" s="116"/>
    </row>
    <row r="70" spans="1:43" ht="17.399999999999999" customHeight="1" x14ac:dyDescent="0.3">
      <c r="A70" s="1">
        <v>9</v>
      </c>
      <c r="B70" s="910" t="s">
        <v>514</v>
      </c>
      <c r="C70" s="699">
        <f t="shared" si="6"/>
        <v>2.125</v>
      </c>
      <c r="D70" s="156"/>
      <c r="E70" s="156">
        <v>34</v>
      </c>
      <c r="F70" s="156"/>
      <c r="G70" s="156"/>
      <c r="H70" s="159"/>
      <c r="I70" s="156"/>
      <c r="J70" s="156"/>
      <c r="K70" s="156"/>
      <c r="L70" s="156"/>
      <c r="M70" s="156"/>
      <c r="N70" s="156"/>
      <c r="O70" s="156"/>
      <c r="P70" s="156"/>
      <c r="Q70" s="157"/>
      <c r="R70" s="156"/>
      <c r="S70" s="156"/>
      <c r="T70" s="114"/>
      <c r="U70" s="114"/>
      <c r="V70" s="1">
        <v>24</v>
      </c>
      <c r="W70" s="910" t="s">
        <v>500</v>
      </c>
      <c r="X70" s="699">
        <f t="shared" si="7"/>
        <v>3.1875</v>
      </c>
      <c r="Y70" s="737">
        <v>20</v>
      </c>
      <c r="Z70" s="156">
        <v>31</v>
      </c>
      <c r="AA70" s="156"/>
      <c r="AB70" s="156"/>
      <c r="AC70" s="156"/>
      <c r="AD70" s="156"/>
      <c r="AE70" s="156"/>
      <c r="AF70" s="156"/>
      <c r="AG70" s="156"/>
      <c r="AH70" s="157"/>
      <c r="AI70" s="157"/>
      <c r="AJ70" s="157"/>
      <c r="AK70" s="157"/>
      <c r="AL70" s="157"/>
      <c r="AM70" s="156"/>
      <c r="AN70" s="157"/>
      <c r="AO70" s="116"/>
      <c r="AP70" s="116"/>
    </row>
    <row r="71" spans="1:43" ht="17.399999999999999" customHeight="1" x14ac:dyDescent="0.3">
      <c r="A71" s="1">
        <v>10</v>
      </c>
      <c r="B71" s="911" t="s">
        <v>515</v>
      </c>
      <c r="C71" s="699">
        <f t="shared" si="6"/>
        <v>4.375</v>
      </c>
      <c r="D71" s="157">
        <v>35</v>
      </c>
      <c r="E71" s="157">
        <v>35</v>
      </c>
      <c r="F71" s="156"/>
      <c r="G71" s="157"/>
      <c r="H71" s="157"/>
      <c r="I71" s="157"/>
      <c r="J71" s="157"/>
      <c r="K71" s="157"/>
      <c r="L71" s="157"/>
      <c r="M71" s="157"/>
      <c r="N71" s="157"/>
      <c r="O71" s="157"/>
      <c r="P71" s="156"/>
      <c r="Q71" s="157"/>
      <c r="R71" s="156"/>
      <c r="S71" s="157"/>
      <c r="T71" s="114"/>
      <c r="U71" s="114"/>
      <c r="V71" s="2">
        <v>25</v>
      </c>
      <c r="W71" s="910" t="s">
        <v>501</v>
      </c>
      <c r="X71" s="699">
        <f t="shared" si="7"/>
        <v>2.1875</v>
      </c>
      <c r="Y71" s="737"/>
      <c r="Z71" s="157">
        <v>35</v>
      </c>
      <c r="AA71" s="157"/>
      <c r="AB71" s="157"/>
      <c r="AC71" s="157"/>
      <c r="AD71" s="157"/>
      <c r="AE71" s="157"/>
      <c r="AF71" s="157"/>
      <c r="AG71" s="157"/>
      <c r="AH71" s="157"/>
      <c r="AI71" s="157"/>
      <c r="AJ71" s="157"/>
      <c r="AK71" s="157"/>
      <c r="AL71" s="157"/>
      <c r="AM71" s="157"/>
      <c r="AN71" s="157"/>
      <c r="AO71" s="116"/>
      <c r="AP71" s="116"/>
    </row>
    <row r="72" spans="1:43" ht="17.399999999999999" customHeight="1" x14ac:dyDescent="0.3">
      <c r="A72" s="1">
        <v>11</v>
      </c>
      <c r="B72" s="910" t="s">
        <v>516</v>
      </c>
      <c r="C72" s="699">
        <f t="shared" si="6"/>
        <v>3.875</v>
      </c>
      <c r="D72" s="156">
        <v>28</v>
      </c>
      <c r="E72" s="156">
        <v>34</v>
      </c>
      <c r="F72" s="156"/>
      <c r="G72" s="156"/>
      <c r="H72" s="156"/>
      <c r="I72" s="156"/>
      <c r="J72" s="156"/>
      <c r="K72" s="157"/>
      <c r="L72" s="156"/>
      <c r="M72" s="156"/>
      <c r="N72" s="157"/>
      <c r="O72" s="156"/>
      <c r="P72" s="157"/>
      <c r="Q72" s="157"/>
      <c r="R72" s="156"/>
      <c r="S72" s="156"/>
      <c r="T72" s="114"/>
      <c r="U72" s="114"/>
      <c r="V72" s="2">
        <v>26</v>
      </c>
      <c r="W72" s="913" t="s">
        <v>502</v>
      </c>
      <c r="X72" s="699">
        <f t="shared" si="7"/>
        <v>1.75</v>
      </c>
      <c r="Y72" s="737"/>
      <c r="Z72" s="156">
        <v>28</v>
      </c>
      <c r="AA72" s="156"/>
      <c r="AB72" s="156"/>
      <c r="AC72" s="159"/>
      <c r="AD72" s="156"/>
      <c r="AE72" s="156"/>
      <c r="AF72" s="156"/>
      <c r="AG72" s="156"/>
      <c r="AH72" s="157"/>
      <c r="AI72" s="156"/>
      <c r="AJ72" s="157"/>
      <c r="AK72" s="156"/>
      <c r="AL72" s="157"/>
      <c r="AM72" s="156"/>
      <c r="AN72" s="156"/>
      <c r="AO72" s="116"/>
      <c r="AP72" s="116"/>
    </row>
    <row r="73" spans="1:43" ht="17.399999999999999" customHeight="1" x14ac:dyDescent="0.3">
      <c r="A73" s="1">
        <v>12</v>
      </c>
      <c r="B73" s="910" t="s">
        <v>517</v>
      </c>
      <c r="C73" s="699">
        <f t="shared" si="6"/>
        <v>2.0625</v>
      </c>
      <c r="D73" s="156"/>
      <c r="E73" s="156">
        <v>33</v>
      </c>
      <c r="F73" s="157"/>
      <c r="G73" s="156"/>
      <c r="H73" s="156"/>
      <c r="I73" s="156"/>
      <c r="J73" s="156"/>
      <c r="K73" s="156"/>
      <c r="L73" s="156"/>
      <c r="M73" s="157"/>
      <c r="N73" s="157"/>
      <c r="O73" s="157"/>
      <c r="P73" s="156"/>
      <c r="Q73" s="157"/>
      <c r="R73" s="156"/>
      <c r="S73" s="156"/>
      <c r="T73" s="114"/>
      <c r="U73" s="114"/>
      <c r="V73" s="1">
        <v>27</v>
      </c>
      <c r="W73" s="914" t="s">
        <v>491</v>
      </c>
      <c r="X73" s="699">
        <f t="shared" si="7"/>
        <v>3.9375</v>
      </c>
      <c r="Y73" s="737">
        <v>28</v>
      </c>
      <c r="Z73" s="156">
        <v>35</v>
      </c>
      <c r="AA73" s="156"/>
      <c r="AB73" s="156"/>
      <c r="AC73" s="157"/>
      <c r="AD73" s="157"/>
      <c r="AE73" s="156"/>
      <c r="AF73" s="156"/>
      <c r="AG73" s="156"/>
      <c r="AH73" s="157"/>
      <c r="AI73" s="157"/>
      <c r="AJ73" s="156"/>
      <c r="AK73" s="156"/>
      <c r="AL73" s="157"/>
      <c r="AM73" s="156"/>
      <c r="AN73" s="156"/>
      <c r="AO73" s="116"/>
      <c r="AP73" s="116"/>
    </row>
    <row r="74" spans="1:43" ht="17.399999999999999" customHeight="1" x14ac:dyDescent="0.3">
      <c r="A74" s="1">
        <v>13</v>
      </c>
      <c r="B74" s="910" t="s">
        <v>518</v>
      </c>
      <c r="C74" s="699">
        <f t="shared" si="6"/>
        <v>3.875</v>
      </c>
      <c r="D74" s="156">
        <v>28</v>
      </c>
      <c r="E74" s="156">
        <v>34</v>
      </c>
      <c r="F74" s="156"/>
      <c r="G74" s="156"/>
      <c r="H74" s="156"/>
      <c r="I74" s="156"/>
      <c r="J74" s="157"/>
      <c r="K74" s="156"/>
      <c r="L74" s="156"/>
      <c r="M74" s="156"/>
      <c r="N74" s="157"/>
      <c r="O74" s="156"/>
      <c r="P74" s="156"/>
      <c r="Q74" s="157"/>
      <c r="R74" s="156"/>
      <c r="S74" s="156"/>
      <c r="T74" s="114"/>
      <c r="U74" s="114"/>
      <c r="V74" s="2">
        <v>28</v>
      </c>
      <c r="W74" s="910" t="s">
        <v>503</v>
      </c>
      <c r="X74" s="699">
        <f t="shared" si="7"/>
        <v>3.9375</v>
      </c>
      <c r="Y74" s="737">
        <v>30</v>
      </c>
      <c r="Z74" s="156">
        <v>33</v>
      </c>
      <c r="AA74" s="156"/>
      <c r="AB74" s="156"/>
      <c r="AC74" s="156"/>
      <c r="AD74" s="156"/>
      <c r="AE74" s="156"/>
      <c r="AF74" s="156"/>
      <c r="AG74" s="156"/>
      <c r="AH74" s="157"/>
      <c r="AI74" s="156"/>
      <c r="AJ74" s="156"/>
      <c r="AK74" s="157"/>
      <c r="AL74" s="157"/>
      <c r="AM74" s="171"/>
      <c r="AN74" s="171"/>
      <c r="AO74" s="116"/>
      <c r="AP74" s="116"/>
    </row>
    <row r="75" spans="1:43" ht="17.399999999999999" customHeight="1" x14ac:dyDescent="0.3">
      <c r="A75" s="1">
        <v>14</v>
      </c>
      <c r="B75" s="910" t="s">
        <v>519</v>
      </c>
      <c r="C75" s="699">
        <f t="shared" si="6"/>
        <v>0</v>
      </c>
      <c r="D75" s="156"/>
      <c r="E75" s="156">
        <v>0</v>
      </c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7"/>
      <c r="R75" s="156"/>
      <c r="S75" s="156"/>
      <c r="T75" s="114"/>
      <c r="U75" s="114"/>
      <c r="V75" s="2">
        <v>29</v>
      </c>
      <c r="W75" s="910" t="s">
        <v>504</v>
      </c>
      <c r="X75" s="699">
        <f t="shared" si="7"/>
        <v>0</v>
      </c>
      <c r="Y75" s="737"/>
      <c r="Z75" s="156"/>
      <c r="AA75" s="156"/>
      <c r="AB75" s="156"/>
      <c r="AC75" s="156"/>
      <c r="AD75" s="156"/>
      <c r="AE75" s="156"/>
      <c r="AF75" s="156"/>
      <c r="AG75" s="157"/>
      <c r="AH75" s="156"/>
      <c r="AI75" s="156"/>
      <c r="AJ75" s="156"/>
      <c r="AK75" s="157"/>
      <c r="AL75" s="157"/>
      <c r="AM75" s="171"/>
      <c r="AN75" s="171"/>
      <c r="AO75" s="116"/>
      <c r="AP75" s="116"/>
    </row>
    <row r="76" spans="1:43" ht="17.399999999999999" customHeight="1" x14ac:dyDescent="0.3">
      <c r="A76" s="1">
        <v>15</v>
      </c>
      <c r="B76" s="910" t="s">
        <v>520</v>
      </c>
      <c r="C76" s="72">
        <f t="shared" si="6"/>
        <v>0</v>
      </c>
      <c r="D76" s="72"/>
      <c r="E76" s="72">
        <v>0</v>
      </c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1">
        <v>30</v>
      </c>
      <c r="W76" s="910" t="s">
        <v>505</v>
      </c>
      <c r="X76" s="699">
        <f t="shared" si="7"/>
        <v>4.375</v>
      </c>
      <c r="Y76" s="72">
        <v>35</v>
      </c>
      <c r="Z76" s="72">
        <v>35</v>
      </c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3" ht="21" x14ac:dyDescent="0.3">
      <c r="A77" s="757" t="s">
        <v>48</v>
      </c>
      <c r="B77" s="757"/>
      <c r="C77" s="757"/>
      <c r="D77" s="757"/>
      <c r="E77" s="757"/>
      <c r="F77" s="757"/>
      <c r="G77" s="757"/>
      <c r="H77" s="757"/>
      <c r="I77" s="757"/>
      <c r="J77" s="757"/>
      <c r="K77" s="757"/>
      <c r="L77" s="757"/>
      <c r="M77" s="757"/>
      <c r="N77" s="757"/>
      <c r="O77" s="757"/>
      <c r="P77" s="757"/>
      <c r="Q77" s="757"/>
      <c r="R77" s="757"/>
      <c r="S77" s="757"/>
      <c r="T77" s="757"/>
      <c r="U77" s="757"/>
      <c r="V77" s="757"/>
      <c r="W77" s="757"/>
      <c r="X77" s="757"/>
      <c r="Y77" s="757"/>
      <c r="Z77" s="757"/>
      <c r="AA77" s="757"/>
      <c r="AB77" s="757"/>
      <c r="AC77" s="757"/>
      <c r="AD77" s="757"/>
      <c r="AE77" s="757"/>
      <c r="AF77" s="757"/>
      <c r="AG77" s="757"/>
      <c r="AH77" s="757"/>
      <c r="AI77" s="757"/>
      <c r="AJ77" s="757"/>
      <c r="AK77" s="757"/>
      <c r="AL77" s="757"/>
      <c r="AM77" s="757"/>
      <c r="AN77" s="757"/>
      <c r="AO77" s="757"/>
      <c r="AP77" s="757"/>
    </row>
    <row r="78" spans="1:43" ht="18" x14ac:dyDescent="0.3">
      <c r="A78" s="758" t="s">
        <v>34</v>
      </c>
      <c r="B78" s="759"/>
      <c r="C78" s="760" t="s">
        <v>1</v>
      </c>
      <c r="D78" s="773" t="s">
        <v>56</v>
      </c>
      <c r="E78" s="773"/>
      <c r="F78" s="773"/>
      <c r="G78" s="773"/>
      <c r="H78" s="773"/>
      <c r="I78" s="773"/>
      <c r="J78" s="773"/>
      <c r="K78" s="773"/>
      <c r="L78" s="773"/>
      <c r="M78" s="773"/>
      <c r="N78" s="773"/>
      <c r="O78" s="773"/>
      <c r="P78" s="773"/>
      <c r="Q78" s="773"/>
      <c r="R78" s="773"/>
      <c r="S78" s="773"/>
      <c r="T78" s="773"/>
      <c r="U78" s="773"/>
      <c r="V78" s="762" t="s">
        <v>34</v>
      </c>
      <c r="W78" s="759"/>
      <c r="X78" s="760" t="s">
        <v>1</v>
      </c>
      <c r="Y78" s="773" t="s">
        <v>56</v>
      </c>
      <c r="Z78" s="773"/>
      <c r="AA78" s="773"/>
      <c r="AB78" s="773"/>
      <c r="AC78" s="773"/>
      <c r="AD78" s="773"/>
      <c r="AE78" s="773"/>
      <c r="AF78" s="773"/>
      <c r="AG78" s="773"/>
      <c r="AH78" s="773"/>
      <c r="AI78" s="773"/>
      <c r="AJ78" s="773"/>
      <c r="AK78" s="773"/>
      <c r="AL78" s="773"/>
      <c r="AM78" s="773"/>
      <c r="AN78" s="773"/>
      <c r="AO78" s="773"/>
      <c r="AP78" s="773"/>
    </row>
    <row r="79" spans="1:43" x14ac:dyDescent="0.3">
      <c r="A79" s="758"/>
      <c r="B79" s="759"/>
      <c r="C79" s="760"/>
      <c r="D79" s="70">
        <v>1</v>
      </c>
      <c r="E79" s="95">
        <v>2</v>
      </c>
      <c r="F79" s="95">
        <v>3</v>
      </c>
      <c r="G79" s="95">
        <v>4</v>
      </c>
      <c r="H79" s="95">
        <v>5</v>
      </c>
      <c r="I79" s="95">
        <v>6</v>
      </c>
      <c r="J79" s="95">
        <v>7</v>
      </c>
      <c r="K79" s="95">
        <v>8</v>
      </c>
      <c r="L79" s="95">
        <v>9</v>
      </c>
      <c r="M79" s="95">
        <v>10</v>
      </c>
      <c r="N79" s="95">
        <v>11</v>
      </c>
      <c r="O79" s="95">
        <v>12</v>
      </c>
      <c r="P79" s="95">
        <v>13</v>
      </c>
      <c r="Q79" s="95">
        <v>14</v>
      </c>
      <c r="R79" s="95">
        <v>15</v>
      </c>
      <c r="S79" s="95">
        <v>16</v>
      </c>
      <c r="T79" s="95">
        <v>17</v>
      </c>
      <c r="U79" s="95">
        <v>18</v>
      </c>
      <c r="V79" s="762"/>
      <c r="W79" s="759"/>
      <c r="X79" s="760"/>
      <c r="Y79" s="70">
        <v>1</v>
      </c>
      <c r="Z79" s="95">
        <v>2</v>
      </c>
      <c r="AA79" s="95">
        <v>3</v>
      </c>
      <c r="AB79" s="95">
        <v>4</v>
      </c>
      <c r="AC79" s="95">
        <v>5</v>
      </c>
      <c r="AD79" s="95">
        <v>6</v>
      </c>
      <c r="AE79" s="95">
        <v>7</v>
      </c>
      <c r="AF79" s="95">
        <v>8</v>
      </c>
      <c r="AG79" s="95">
        <v>9</v>
      </c>
      <c r="AH79" s="95">
        <v>10</v>
      </c>
      <c r="AI79" s="95">
        <v>11</v>
      </c>
      <c r="AJ79" s="72">
        <v>12</v>
      </c>
      <c r="AK79" s="72">
        <v>13</v>
      </c>
      <c r="AL79" s="72">
        <v>14</v>
      </c>
      <c r="AM79" s="72">
        <v>15</v>
      </c>
      <c r="AN79" s="72">
        <v>16</v>
      </c>
      <c r="AO79" s="72">
        <v>17</v>
      </c>
      <c r="AP79" s="72">
        <v>18</v>
      </c>
    </row>
    <row r="80" spans="1:43" ht="100.8" customHeight="1" x14ac:dyDescent="0.3">
      <c r="A80" s="758"/>
      <c r="B80" s="759"/>
      <c r="C80" s="760"/>
      <c r="D80" s="96"/>
      <c r="E80" s="96"/>
      <c r="F80" s="96"/>
      <c r="G80" s="96"/>
      <c r="H80" s="150"/>
      <c r="I80" s="151"/>
      <c r="J80" s="96"/>
      <c r="K80" s="96"/>
      <c r="L80" s="96"/>
      <c r="M80" s="96"/>
      <c r="N80" s="96"/>
      <c r="O80" s="96"/>
      <c r="P80" s="96"/>
      <c r="Q80" s="75"/>
      <c r="R80" s="96"/>
      <c r="S80" s="96"/>
      <c r="T80" s="96"/>
      <c r="U80" s="96"/>
      <c r="V80" s="762"/>
      <c r="W80" s="759"/>
      <c r="X80" s="760"/>
      <c r="Y80" s="96"/>
      <c r="Z80" s="96"/>
      <c r="AA80" s="96"/>
      <c r="AB80" s="96"/>
      <c r="AC80" s="150"/>
      <c r="AD80" s="151"/>
      <c r="AE80" s="78"/>
      <c r="AF80" s="78"/>
      <c r="AG80" s="78"/>
      <c r="AH80" s="96"/>
      <c r="AI80" s="96"/>
      <c r="AJ80" s="96"/>
      <c r="AK80" s="96"/>
      <c r="AL80" s="75"/>
      <c r="AM80" s="96"/>
      <c r="AN80" s="96"/>
      <c r="AO80" s="96"/>
      <c r="AP80" s="96"/>
    </row>
    <row r="81" spans="1:42" ht="20.399999999999999" x14ac:dyDescent="0.3">
      <c r="A81" s="1">
        <v>1</v>
      </c>
      <c r="B81" s="910" t="s">
        <v>506</v>
      </c>
      <c r="C81" s="699">
        <f>((D81+E81+F81+G81+H81+I81+J81+K81+L81+M81+N81+O81+P81+Q81+R81+S81)/16)</f>
        <v>0</v>
      </c>
      <c r="D81" s="157"/>
      <c r="E81" s="156"/>
      <c r="F81" s="156"/>
      <c r="G81" s="157"/>
      <c r="H81" s="157"/>
      <c r="I81" s="157"/>
      <c r="J81" s="157"/>
      <c r="K81" s="156"/>
      <c r="L81" s="156"/>
      <c r="M81" s="157"/>
      <c r="N81" s="157"/>
      <c r="O81" s="156"/>
      <c r="P81" s="157"/>
      <c r="Q81" s="157"/>
      <c r="R81" s="156"/>
      <c r="S81" s="156"/>
      <c r="T81" s="114"/>
      <c r="U81" s="114"/>
      <c r="V81" s="2">
        <v>16</v>
      </c>
      <c r="W81" s="910" t="s">
        <v>492</v>
      </c>
      <c r="X81" s="699">
        <f>((Y81+Z81+AA81+AB81+AC81+AD81+AE81+AF81+AG81+AH81+AI81+AJ81+AK81+AL81+AM81+AN81)/16)</f>
        <v>0</v>
      </c>
      <c r="Y81" s="737"/>
      <c r="Z81" s="156"/>
      <c r="AA81" s="156"/>
      <c r="AB81" s="157"/>
      <c r="AC81" s="156"/>
      <c r="AD81" s="156"/>
      <c r="AE81" s="156"/>
      <c r="AF81" s="156"/>
      <c r="AG81" s="156"/>
      <c r="AH81" s="156"/>
      <c r="AI81" s="157"/>
      <c r="AJ81" s="157"/>
      <c r="AK81" s="157"/>
      <c r="AL81" s="157"/>
      <c r="AM81" s="156"/>
      <c r="AN81" s="156"/>
      <c r="AO81" s="116"/>
      <c r="AP81" s="116"/>
    </row>
    <row r="82" spans="1:42" ht="20.399999999999999" x14ac:dyDescent="0.3">
      <c r="A82" s="1">
        <v>2</v>
      </c>
      <c r="B82" s="910" t="s">
        <v>507</v>
      </c>
      <c r="C82" s="699">
        <f t="shared" ref="C82:C94" si="8">((D82+E82+F82+G82+H82+I82+J82+K82+L82+M82+N82+O82+P82+Q82+R82+S82)/16)</f>
        <v>0</v>
      </c>
      <c r="D82" s="156"/>
      <c r="E82" s="156"/>
      <c r="F82" s="156"/>
      <c r="G82" s="156"/>
      <c r="H82" s="156"/>
      <c r="I82" s="156"/>
      <c r="J82" s="157"/>
      <c r="K82" s="156"/>
      <c r="L82" s="156"/>
      <c r="M82" s="156"/>
      <c r="N82" s="156"/>
      <c r="O82" s="156"/>
      <c r="P82" s="156"/>
      <c r="Q82" s="157"/>
      <c r="R82" s="156"/>
      <c r="S82" s="156"/>
      <c r="T82" s="114"/>
      <c r="U82" s="114"/>
      <c r="V82" s="2">
        <v>17</v>
      </c>
      <c r="W82" s="910" t="s">
        <v>493</v>
      </c>
      <c r="X82" s="699">
        <f t="shared" ref="X82:X95" si="9">((Y82+Z82+AA82+AB82+AC82+AD82+AE82+AF82+AG82+AH82+AI82+AJ82+AK82+AL82+AM82+AN82)/16)</f>
        <v>0</v>
      </c>
      <c r="Y82" s="737"/>
      <c r="Z82" s="156"/>
      <c r="AA82" s="156"/>
      <c r="AB82" s="156"/>
      <c r="AC82" s="156"/>
      <c r="AD82" s="156"/>
      <c r="AE82" s="156"/>
      <c r="AF82" s="157"/>
      <c r="AG82" s="156"/>
      <c r="AH82" s="156"/>
      <c r="AI82" s="157"/>
      <c r="AJ82" s="157"/>
      <c r="AK82" s="156"/>
      <c r="AL82" s="157"/>
      <c r="AM82" s="156"/>
      <c r="AN82" s="156"/>
      <c r="AO82" s="116"/>
      <c r="AP82" s="116"/>
    </row>
    <row r="83" spans="1:42" ht="20.399999999999999" x14ac:dyDescent="0.3">
      <c r="A83" s="1">
        <v>3</v>
      </c>
      <c r="B83" s="910" t="s">
        <v>508</v>
      </c>
      <c r="C83" s="699">
        <f t="shared" si="8"/>
        <v>0</v>
      </c>
      <c r="D83" s="156"/>
      <c r="E83" s="156"/>
      <c r="F83" s="156"/>
      <c r="G83" s="157"/>
      <c r="H83" s="156"/>
      <c r="I83" s="156"/>
      <c r="J83" s="156"/>
      <c r="K83" s="156"/>
      <c r="L83" s="156"/>
      <c r="M83" s="157"/>
      <c r="N83" s="157"/>
      <c r="O83" s="157"/>
      <c r="P83" s="156"/>
      <c r="Q83" s="157"/>
      <c r="R83" s="156"/>
      <c r="S83" s="156"/>
      <c r="T83" s="114"/>
      <c r="U83" s="114"/>
      <c r="V83" s="1">
        <v>18</v>
      </c>
      <c r="W83" s="912" t="s">
        <v>494</v>
      </c>
      <c r="X83" s="699">
        <f t="shared" si="9"/>
        <v>0</v>
      </c>
      <c r="Y83" s="737"/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7"/>
      <c r="AM83" s="156"/>
      <c r="AN83" s="156"/>
      <c r="AO83" s="116"/>
      <c r="AP83" s="116"/>
    </row>
    <row r="84" spans="1:42" ht="20.399999999999999" x14ac:dyDescent="0.3">
      <c r="A84" s="1">
        <v>4</v>
      </c>
      <c r="B84" s="910" t="s">
        <v>509</v>
      </c>
      <c r="C84" s="699">
        <f t="shared" si="8"/>
        <v>0</v>
      </c>
      <c r="D84" s="156"/>
      <c r="E84" s="156"/>
      <c r="F84" s="156"/>
      <c r="G84" s="156"/>
      <c r="H84" s="156"/>
      <c r="I84" s="156"/>
      <c r="J84" s="156"/>
      <c r="K84" s="156"/>
      <c r="L84" s="156"/>
      <c r="M84" s="158"/>
      <c r="N84" s="182"/>
      <c r="O84" s="158"/>
      <c r="P84" s="158"/>
      <c r="Q84" s="182"/>
      <c r="R84" s="158"/>
      <c r="S84" s="158"/>
      <c r="T84" s="115"/>
      <c r="U84" s="115"/>
      <c r="V84" s="2">
        <v>19</v>
      </c>
      <c r="W84" s="910" t="s">
        <v>495</v>
      </c>
      <c r="X84" s="699">
        <f t="shared" si="9"/>
        <v>0</v>
      </c>
      <c r="Y84" s="737"/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8"/>
      <c r="AK84" s="156"/>
      <c r="AL84" s="157"/>
      <c r="AM84" s="156"/>
      <c r="AN84" s="156"/>
      <c r="AO84" s="116"/>
      <c r="AP84" s="116"/>
    </row>
    <row r="85" spans="1:42" ht="20.399999999999999" x14ac:dyDescent="0.3">
      <c r="A85" s="1">
        <v>5</v>
      </c>
      <c r="B85" s="910" t="s">
        <v>510</v>
      </c>
      <c r="C85" s="699">
        <f t="shared" si="8"/>
        <v>0</v>
      </c>
      <c r="D85" s="156"/>
      <c r="E85" s="159"/>
      <c r="F85" s="156"/>
      <c r="G85" s="156"/>
      <c r="H85" s="156"/>
      <c r="I85" s="156"/>
      <c r="J85" s="156"/>
      <c r="K85" s="156"/>
      <c r="L85" s="156"/>
      <c r="M85" s="157"/>
      <c r="N85" s="156"/>
      <c r="O85" s="157"/>
      <c r="P85" s="156"/>
      <c r="Q85" s="157"/>
      <c r="R85" s="156"/>
      <c r="S85" s="156"/>
      <c r="T85" s="114"/>
      <c r="U85" s="114"/>
      <c r="V85" s="2">
        <v>20</v>
      </c>
      <c r="W85" s="910" t="s">
        <v>496</v>
      </c>
      <c r="X85" s="699">
        <f t="shared" si="9"/>
        <v>0</v>
      </c>
      <c r="Y85" s="737"/>
      <c r="Z85" s="157"/>
      <c r="AA85" s="156"/>
      <c r="AB85" s="156"/>
      <c r="AC85" s="157"/>
      <c r="AD85" s="156"/>
      <c r="AE85" s="157"/>
      <c r="AF85" s="157"/>
      <c r="AG85" s="157"/>
      <c r="AH85" s="156"/>
      <c r="AI85" s="156"/>
      <c r="AJ85" s="156"/>
      <c r="AK85" s="156"/>
      <c r="AL85" s="157"/>
      <c r="AM85" s="156"/>
      <c r="AN85" s="156"/>
      <c r="AO85" s="116"/>
      <c r="AP85" s="116"/>
    </row>
    <row r="86" spans="1:42" ht="20.399999999999999" x14ac:dyDescent="0.3">
      <c r="A86" s="1">
        <v>6</v>
      </c>
      <c r="B86" s="910" t="s">
        <v>511</v>
      </c>
      <c r="C86" s="699">
        <f t="shared" si="8"/>
        <v>0</v>
      </c>
      <c r="D86" s="156"/>
      <c r="E86" s="159"/>
      <c r="F86" s="156"/>
      <c r="G86" s="156"/>
      <c r="H86" s="156"/>
      <c r="I86" s="156"/>
      <c r="J86" s="156"/>
      <c r="K86" s="156"/>
      <c r="L86" s="156"/>
      <c r="M86" s="156"/>
      <c r="N86" s="157"/>
      <c r="O86" s="157"/>
      <c r="P86" s="156"/>
      <c r="Q86" s="157"/>
      <c r="R86" s="156"/>
      <c r="S86" s="156"/>
      <c r="T86" s="114"/>
      <c r="U86" s="114"/>
      <c r="V86" s="1">
        <v>21</v>
      </c>
      <c r="W86" s="910" t="s">
        <v>497</v>
      </c>
      <c r="X86" s="699">
        <f t="shared" si="9"/>
        <v>0</v>
      </c>
      <c r="Y86" s="737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  <c r="AL86" s="157"/>
      <c r="AM86" s="156"/>
      <c r="AN86" s="156"/>
      <c r="AO86" s="116"/>
      <c r="AP86" s="116"/>
    </row>
    <row r="87" spans="1:42" ht="20.399999999999999" x14ac:dyDescent="0.3">
      <c r="A87" s="1">
        <v>7</v>
      </c>
      <c r="B87" s="910" t="s">
        <v>512</v>
      </c>
      <c r="C87" s="699">
        <f t="shared" si="8"/>
        <v>0</v>
      </c>
      <c r="D87" s="156"/>
      <c r="E87" s="156"/>
      <c r="F87" s="157"/>
      <c r="G87" s="156"/>
      <c r="H87" s="156"/>
      <c r="I87" s="156"/>
      <c r="J87" s="156"/>
      <c r="K87" s="157"/>
      <c r="L87" s="156"/>
      <c r="M87" s="156"/>
      <c r="N87" s="157"/>
      <c r="O87" s="157"/>
      <c r="P87" s="156"/>
      <c r="Q87" s="157"/>
      <c r="R87" s="156"/>
      <c r="S87" s="156"/>
      <c r="T87" s="114"/>
      <c r="U87" s="114"/>
      <c r="V87" s="2">
        <v>22</v>
      </c>
      <c r="W87" s="910" t="s">
        <v>498</v>
      </c>
      <c r="X87" s="699">
        <f t="shared" si="9"/>
        <v>0</v>
      </c>
      <c r="Y87" s="737"/>
      <c r="Z87" s="156"/>
      <c r="AA87" s="156"/>
      <c r="AB87" s="156"/>
      <c r="AC87" s="156"/>
      <c r="AD87" s="156"/>
      <c r="AE87" s="157"/>
      <c r="AF87" s="156"/>
      <c r="AG87" s="156"/>
      <c r="AH87" s="156"/>
      <c r="AI87" s="157"/>
      <c r="AJ87" s="157"/>
      <c r="AK87" s="157"/>
      <c r="AL87" s="157"/>
      <c r="AM87" s="156"/>
      <c r="AN87" s="156"/>
      <c r="AO87" s="116"/>
      <c r="AP87" s="116"/>
    </row>
    <row r="88" spans="1:42" ht="20.399999999999999" x14ac:dyDescent="0.3">
      <c r="A88" s="1">
        <v>8</v>
      </c>
      <c r="B88" s="910" t="s">
        <v>513</v>
      </c>
      <c r="C88" s="699">
        <f t="shared" si="8"/>
        <v>0</v>
      </c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7"/>
      <c r="R88" s="156"/>
      <c r="S88" s="156"/>
      <c r="T88" s="114"/>
      <c r="U88" s="114"/>
      <c r="V88" s="2">
        <v>23</v>
      </c>
      <c r="W88" s="910" t="s">
        <v>499</v>
      </c>
      <c r="X88" s="699">
        <f t="shared" si="9"/>
        <v>0</v>
      </c>
      <c r="Y88" s="737"/>
      <c r="Z88" s="156"/>
      <c r="AA88" s="156"/>
      <c r="AB88" s="157"/>
      <c r="AC88" s="156"/>
      <c r="AD88" s="156"/>
      <c r="AE88" s="156"/>
      <c r="AF88" s="157"/>
      <c r="AG88" s="156"/>
      <c r="AH88" s="156"/>
      <c r="AI88" s="156"/>
      <c r="AJ88" s="156"/>
      <c r="AK88" s="156"/>
      <c r="AL88" s="157"/>
      <c r="AM88" s="156"/>
      <c r="AN88" s="156"/>
      <c r="AO88" s="116"/>
      <c r="AP88" s="116"/>
    </row>
    <row r="89" spans="1:42" x14ac:dyDescent="0.3">
      <c r="A89" s="1">
        <v>9</v>
      </c>
      <c r="B89" s="910" t="s">
        <v>514</v>
      </c>
      <c r="C89" s="699">
        <f t="shared" si="8"/>
        <v>0</v>
      </c>
      <c r="D89" s="156"/>
      <c r="E89" s="156"/>
      <c r="F89" s="156"/>
      <c r="G89" s="156"/>
      <c r="H89" s="159"/>
      <c r="I89" s="156"/>
      <c r="J89" s="156"/>
      <c r="K89" s="156"/>
      <c r="L89" s="156"/>
      <c r="M89" s="156"/>
      <c r="N89" s="156"/>
      <c r="O89" s="156"/>
      <c r="P89" s="156"/>
      <c r="Q89" s="157"/>
      <c r="R89" s="156"/>
      <c r="S89" s="156"/>
      <c r="T89" s="114"/>
      <c r="U89" s="114"/>
      <c r="V89" s="1">
        <v>24</v>
      </c>
      <c r="W89" s="910" t="s">
        <v>500</v>
      </c>
      <c r="X89" s="699">
        <f t="shared" si="9"/>
        <v>0</v>
      </c>
      <c r="Y89" s="737"/>
      <c r="Z89" s="156"/>
      <c r="AA89" s="156"/>
      <c r="AB89" s="156"/>
      <c r="AC89" s="156"/>
      <c r="AD89" s="156"/>
      <c r="AE89" s="156"/>
      <c r="AF89" s="156"/>
      <c r="AG89" s="156"/>
      <c r="AH89" s="157"/>
      <c r="AI89" s="157"/>
      <c r="AJ89" s="157"/>
      <c r="AK89" s="157"/>
      <c r="AL89" s="157"/>
      <c r="AM89" s="156"/>
      <c r="AN89" s="157"/>
      <c r="AO89" s="116"/>
      <c r="AP89" s="116"/>
    </row>
    <row r="90" spans="1:42" ht="20.399999999999999" x14ac:dyDescent="0.3">
      <c r="A90" s="1">
        <v>10</v>
      </c>
      <c r="B90" s="911" t="s">
        <v>515</v>
      </c>
      <c r="C90" s="699">
        <f t="shared" si="8"/>
        <v>0</v>
      </c>
      <c r="D90" s="157"/>
      <c r="E90" s="157"/>
      <c r="F90" s="156"/>
      <c r="G90" s="157"/>
      <c r="H90" s="157"/>
      <c r="I90" s="157"/>
      <c r="J90" s="157"/>
      <c r="K90" s="157"/>
      <c r="L90" s="157"/>
      <c r="M90" s="157"/>
      <c r="N90" s="157"/>
      <c r="O90" s="157"/>
      <c r="P90" s="156"/>
      <c r="Q90" s="157"/>
      <c r="R90" s="156"/>
      <c r="S90" s="157"/>
      <c r="T90" s="114"/>
      <c r="U90" s="114"/>
      <c r="V90" s="2">
        <v>25</v>
      </c>
      <c r="W90" s="910" t="s">
        <v>501</v>
      </c>
      <c r="X90" s="699">
        <f t="shared" si="9"/>
        <v>0</v>
      </c>
      <c r="Y90" s="73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  <c r="AJ90" s="157"/>
      <c r="AK90" s="157"/>
      <c r="AL90" s="157"/>
      <c r="AM90" s="157"/>
      <c r="AN90" s="157"/>
      <c r="AO90" s="116"/>
      <c r="AP90" s="116"/>
    </row>
    <row r="91" spans="1:42" ht="20.399999999999999" x14ac:dyDescent="0.3">
      <c r="A91" s="1">
        <v>11</v>
      </c>
      <c r="B91" s="910" t="s">
        <v>516</v>
      </c>
      <c r="C91" s="699">
        <f t="shared" si="8"/>
        <v>0</v>
      </c>
      <c r="D91" s="156"/>
      <c r="E91" s="156"/>
      <c r="F91" s="156"/>
      <c r="G91" s="156"/>
      <c r="H91" s="156"/>
      <c r="I91" s="156"/>
      <c r="J91" s="156"/>
      <c r="K91" s="157"/>
      <c r="L91" s="156"/>
      <c r="M91" s="156"/>
      <c r="N91" s="157"/>
      <c r="O91" s="156"/>
      <c r="P91" s="157"/>
      <c r="Q91" s="157"/>
      <c r="R91" s="156"/>
      <c r="S91" s="156"/>
      <c r="T91" s="114"/>
      <c r="U91" s="114"/>
      <c r="V91" s="2">
        <v>26</v>
      </c>
      <c r="W91" s="913" t="s">
        <v>502</v>
      </c>
      <c r="X91" s="699">
        <f t="shared" si="9"/>
        <v>0</v>
      </c>
      <c r="Y91" s="737"/>
      <c r="Z91" s="156"/>
      <c r="AA91" s="156"/>
      <c r="AB91" s="156"/>
      <c r="AC91" s="159"/>
      <c r="AD91" s="156"/>
      <c r="AE91" s="156"/>
      <c r="AF91" s="156"/>
      <c r="AG91" s="156"/>
      <c r="AH91" s="157"/>
      <c r="AI91" s="156"/>
      <c r="AJ91" s="157"/>
      <c r="AK91" s="156"/>
      <c r="AL91" s="157"/>
      <c r="AM91" s="156"/>
      <c r="AN91" s="156"/>
      <c r="AO91" s="116"/>
      <c r="AP91" s="116"/>
    </row>
    <row r="92" spans="1:42" x14ac:dyDescent="0.3">
      <c r="A92" s="1">
        <v>12</v>
      </c>
      <c r="B92" s="910" t="s">
        <v>517</v>
      </c>
      <c r="C92" s="699">
        <f t="shared" si="8"/>
        <v>0</v>
      </c>
      <c r="D92" s="156"/>
      <c r="E92" s="156"/>
      <c r="F92" s="157"/>
      <c r="G92" s="156"/>
      <c r="H92" s="156"/>
      <c r="I92" s="156"/>
      <c r="J92" s="156"/>
      <c r="K92" s="156"/>
      <c r="L92" s="156"/>
      <c r="M92" s="157"/>
      <c r="N92" s="157"/>
      <c r="O92" s="157"/>
      <c r="P92" s="156"/>
      <c r="Q92" s="157"/>
      <c r="R92" s="156"/>
      <c r="S92" s="156"/>
      <c r="T92" s="114"/>
      <c r="U92" s="114"/>
      <c r="V92" s="1">
        <v>27</v>
      </c>
      <c r="W92" s="914" t="s">
        <v>491</v>
      </c>
      <c r="X92" s="699">
        <f t="shared" si="9"/>
        <v>0</v>
      </c>
      <c r="Y92" s="737"/>
      <c r="Z92" s="156"/>
      <c r="AA92" s="156"/>
      <c r="AB92" s="156"/>
      <c r="AC92" s="157"/>
      <c r="AD92" s="157"/>
      <c r="AE92" s="156"/>
      <c r="AF92" s="156"/>
      <c r="AG92" s="156"/>
      <c r="AH92" s="157"/>
      <c r="AI92" s="157"/>
      <c r="AJ92" s="156"/>
      <c r="AK92" s="156"/>
      <c r="AL92" s="157"/>
      <c r="AM92" s="156"/>
      <c r="AN92" s="156"/>
      <c r="AO92" s="116"/>
      <c r="AP92" s="116"/>
    </row>
    <row r="93" spans="1:42" ht="20.399999999999999" x14ac:dyDescent="0.3">
      <c r="A93" s="1">
        <v>13</v>
      </c>
      <c r="B93" s="910" t="s">
        <v>518</v>
      </c>
      <c r="C93" s="699">
        <f t="shared" si="8"/>
        <v>0</v>
      </c>
      <c r="D93" s="156"/>
      <c r="E93" s="156"/>
      <c r="F93" s="156"/>
      <c r="G93" s="156"/>
      <c r="H93" s="156"/>
      <c r="I93" s="156"/>
      <c r="J93" s="157"/>
      <c r="K93" s="156"/>
      <c r="L93" s="156"/>
      <c r="M93" s="156"/>
      <c r="N93" s="157"/>
      <c r="O93" s="156"/>
      <c r="P93" s="156"/>
      <c r="Q93" s="157"/>
      <c r="R93" s="156"/>
      <c r="S93" s="156"/>
      <c r="T93" s="114"/>
      <c r="U93" s="114"/>
      <c r="V93" s="2">
        <v>28</v>
      </c>
      <c r="W93" s="910" t="s">
        <v>503</v>
      </c>
      <c r="X93" s="699">
        <f t="shared" si="9"/>
        <v>0</v>
      </c>
      <c r="Y93" s="737"/>
      <c r="Z93" s="156"/>
      <c r="AA93" s="156"/>
      <c r="AB93" s="156"/>
      <c r="AC93" s="156"/>
      <c r="AD93" s="156"/>
      <c r="AE93" s="156"/>
      <c r="AF93" s="156"/>
      <c r="AG93" s="156"/>
      <c r="AH93" s="157"/>
      <c r="AI93" s="156"/>
      <c r="AJ93" s="156"/>
      <c r="AK93" s="157"/>
      <c r="AL93" s="157"/>
      <c r="AM93" s="171"/>
      <c r="AN93" s="171"/>
      <c r="AO93" s="116"/>
      <c r="AP93" s="116"/>
    </row>
    <row r="94" spans="1:42" ht="20.399999999999999" x14ac:dyDescent="0.3">
      <c r="A94" s="1">
        <v>14</v>
      </c>
      <c r="B94" s="910" t="s">
        <v>519</v>
      </c>
      <c r="C94" s="699">
        <f t="shared" si="8"/>
        <v>0</v>
      </c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7"/>
      <c r="R94" s="156"/>
      <c r="S94" s="156"/>
      <c r="T94" s="114"/>
      <c r="U94" s="114"/>
      <c r="V94" s="2">
        <v>29</v>
      </c>
      <c r="W94" s="910" t="s">
        <v>504</v>
      </c>
      <c r="X94" s="699">
        <f t="shared" si="9"/>
        <v>0</v>
      </c>
      <c r="Y94" s="737"/>
      <c r="Z94" s="156"/>
      <c r="AA94" s="156"/>
      <c r="AB94" s="156"/>
      <c r="AC94" s="156"/>
      <c r="AD94" s="156"/>
      <c r="AE94" s="156"/>
      <c r="AF94" s="156"/>
      <c r="AG94" s="157"/>
      <c r="AH94" s="156"/>
      <c r="AI94" s="156"/>
      <c r="AJ94" s="156"/>
      <c r="AK94" s="157"/>
      <c r="AL94" s="157"/>
      <c r="AM94" s="171"/>
      <c r="AN94" s="171"/>
      <c r="AO94" s="116"/>
      <c r="AP94" s="116"/>
    </row>
    <row r="95" spans="1:42" ht="19.8" customHeight="1" x14ac:dyDescent="0.3">
      <c r="A95" s="1">
        <v>15</v>
      </c>
      <c r="B95" s="910" t="s">
        <v>520</v>
      </c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1">
        <v>30</v>
      </c>
      <c r="W95" s="910" t="s">
        <v>505</v>
      </c>
      <c r="X95" s="699">
        <f t="shared" si="9"/>
        <v>0</v>
      </c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21" x14ac:dyDescent="0.3">
      <c r="A96" s="757" t="s">
        <v>48</v>
      </c>
      <c r="B96" s="757"/>
      <c r="C96" s="757"/>
      <c r="D96" s="757"/>
      <c r="E96" s="757"/>
      <c r="F96" s="757"/>
      <c r="G96" s="757"/>
      <c r="H96" s="757"/>
      <c r="I96" s="757"/>
      <c r="J96" s="757"/>
      <c r="K96" s="757"/>
      <c r="L96" s="757"/>
      <c r="M96" s="757"/>
      <c r="N96" s="757"/>
      <c r="O96" s="757"/>
      <c r="P96" s="757"/>
      <c r="Q96" s="757"/>
      <c r="R96" s="757"/>
      <c r="S96" s="757"/>
      <c r="T96" s="757"/>
      <c r="U96" s="757"/>
      <c r="V96" s="757"/>
      <c r="W96" s="757"/>
      <c r="X96" s="757"/>
      <c r="Y96" s="757"/>
      <c r="Z96" s="757"/>
      <c r="AA96" s="757"/>
      <c r="AB96" s="757"/>
      <c r="AC96" s="757"/>
      <c r="AD96" s="757"/>
      <c r="AE96" s="757"/>
      <c r="AF96" s="757"/>
      <c r="AG96" s="757"/>
      <c r="AH96" s="757"/>
      <c r="AI96" s="757"/>
      <c r="AJ96" s="757"/>
      <c r="AK96" s="757"/>
      <c r="AL96" s="757"/>
      <c r="AM96" s="757"/>
      <c r="AN96" s="757"/>
      <c r="AO96" s="757"/>
      <c r="AP96" s="757"/>
    </row>
    <row r="97" spans="1:43" ht="18" x14ac:dyDescent="0.3">
      <c r="A97" s="758" t="s">
        <v>34</v>
      </c>
      <c r="B97" s="759"/>
      <c r="C97" s="760" t="s">
        <v>1</v>
      </c>
      <c r="D97" s="761" t="s">
        <v>57</v>
      </c>
      <c r="E97" s="761"/>
      <c r="F97" s="761"/>
      <c r="G97" s="761"/>
      <c r="H97" s="761"/>
      <c r="I97" s="761"/>
      <c r="J97" s="761"/>
      <c r="K97" s="761"/>
      <c r="L97" s="761"/>
      <c r="M97" s="761"/>
      <c r="N97" s="761"/>
      <c r="O97" s="761"/>
      <c r="P97" s="761"/>
      <c r="Q97" s="761"/>
      <c r="R97" s="761"/>
      <c r="S97" s="761"/>
      <c r="T97" s="761"/>
      <c r="U97" s="761"/>
      <c r="V97" s="762" t="s">
        <v>34</v>
      </c>
      <c r="W97" s="759"/>
      <c r="X97" s="760" t="s">
        <v>1</v>
      </c>
      <c r="Y97" s="761" t="s">
        <v>57</v>
      </c>
      <c r="Z97" s="761"/>
      <c r="AA97" s="761"/>
      <c r="AB97" s="761"/>
      <c r="AC97" s="761"/>
      <c r="AD97" s="761"/>
      <c r="AE97" s="761"/>
      <c r="AF97" s="761"/>
      <c r="AG97" s="761"/>
      <c r="AH97" s="761"/>
      <c r="AI97" s="761"/>
      <c r="AJ97" s="761"/>
      <c r="AK97" s="761"/>
      <c r="AL97" s="761"/>
      <c r="AM97" s="761"/>
      <c r="AN97" s="761"/>
      <c r="AO97" s="761"/>
      <c r="AP97" s="761"/>
    </row>
    <row r="98" spans="1:43" x14ac:dyDescent="0.3">
      <c r="A98" s="758"/>
      <c r="B98" s="759"/>
      <c r="C98" s="760"/>
      <c r="D98" s="70">
        <v>1</v>
      </c>
      <c r="E98" s="95">
        <v>2</v>
      </c>
      <c r="F98" s="95">
        <v>3</v>
      </c>
      <c r="G98" s="95">
        <v>4</v>
      </c>
      <c r="H98" s="95">
        <v>5</v>
      </c>
      <c r="I98" s="95">
        <v>6</v>
      </c>
      <c r="J98" s="95">
        <v>7</v>
      </c>
      <c r="K98" s="95">
        <v>8</v>
      </c>
      <c r="L98" s="95">
        <v>9</v>
      </c>
      <c r="M98" s="95">
        <v>10</v>
      </c>
      <c r="N98" s="95">
        <v>11</v>
      </c>
      <c r="O98" s="95">
        <v>12</v>
      </c>
      <c r="P98" s="95">
        <v>13</v>
      </c>
      <c r="Q98" s="95">
        <v>14</v>
      </c>
      <c r="R98" s="95">
        <v>15</v>
      </c>
      <c r="S98" s="95">
        <v>16</v>
      </c>
      <c r="T98" s="95">
        <v>17</v>
      </c>
      <c r="U98" s="95">
        <v>18</v>
      </c>
      <c r="V98" s="762"/>
      <c r="W98" s="759"/>
      <c r="X98" s="760"/>
      <c r="Y98" s="70">
        <v>1</v>
      </c>
      <c r="Z98" s="95">
        <v>2</v>
      </c>
      <c r="AA98" s="95">
        <v>3</v>
      </c>
      <c r="AB98" s="95">
        <v>4</v>
      </c>
      <c r="AC98" s="95">
        <v>5</v>
      </c>
      <c r="AD98" s="95">
        <v>6</v>
      </c>
      <c r="AE98" s="95">
        <v>7</v>
      </c>
      <c r="AF98" s="95">
        <v>8</v>
      </c>
      <c r="AG98" s="95">
        <v>9</v>
      </c>
      <c r="AH98" s="95">
        <v>10</v>
      </c>
      <c r="AI98" s="95">
        <v>11</v>
      </c>
      <c r="AJ98" s="72">
        <v>12</v>
      </c>
      <c r="AK98" s="72">
        <v>13</v>
      </c>
      <c r="AL98" s="72">
        <v>14</v>
      </c>
      <c r="AM98" s="72">
        <v>15</v>
      </c>
      <c r="AN98" s="72">
        <v>16</v>
      </c>
      <c r="AO98" s="72">
        <v>17</v>
      </c>
      <c r="AP98" s="72">
        <v>18</v>
      </c>
    </row>
    <row r="99" spans="1:43" ht="53.4" customHeight="1" x14ac:dyDescent="0.3">
      <c r="A99" s="758"/>
      <c r="B99" s="759"/>
      <c r="C99" s="760"/>
      <c r="D99" s="738" t="s">
        <v>477</v>
      </c>
      <c r="E99" s="96"/>
      <c r="F99" s="96"/>
      <c r="G99" s="96"/>
      <c r="H99" s="148"/>
      <c r="I99" s="96"/>
      <c r="J99" s="96"/>
      <c r="K99" s="96"/>
      <c r="L99" s="96"/>
      <c r="M99" s="96"/>
      <c r="N99" s="96"/>
      <c r="O99" s="96"/>
      <c r="P99" s="96"/>
      <c r="Q99" s="75"/>
      <c r="R99" s="96"/>
      <c r="S99" s="96"/>
      <c r="T99" s="96"/>
      <c r="U99" s="96"/>
      <c r="V99" s="762"/>
      <c r="W99" s="759"/>
      <c r="X99" s="760"/>
      <c r="Y99" s="738" t="s">
        <v>477</v>
      </c>
      <c r="Z99" s="96"/>
      <c r="AA99" s="96"/>
      <c r="AB99" s="96"/>
      <c r="AC99" s="148"/>
      <c r="AD99" s="96"/>
      <c r="AE99" s="96"/>
      <c r="AF99" s="78"/>
      <c r="AG99" s="78"/>
      <c r="AH99" s="96"/>
      <c r="AI99" s="96"/>
      <c r="AJ99" s="96"/>
      <c r="AK99" s="96"/>
      <c r="AL99" s="75"/>
      <c r="AM99" s="96"/>
      <c r="AN99" s="96"/>
      <c r="AO99" s="96"/>
      <c r="AP99" s="96"/>
      <c r="AQ99" t="s">
        <v>478</v>
      </c>
    </row>
    <row r="100" spans="1:43" ht="20.399999999999999" x14ac:dyDescent="0.3">
      <c r="A100" s="1">
        <v>1</v>
      </c>
      <c r="B100" s="910" t="s">
        <v>506</v>
      </c>
      <c r="C100" s="699">
        <f>((D100+E100+F100+G100+H100+I100+J100+K100+L100+M100+N100+O100+P100+Q100+R100+S100)/16)</f>
        <v>1.25</v>
      </c>
      <c r="D100" s="157">
        <v>20</v>
      </c>
      <c r="E100" s="156"/>
      <c r="F100" s="156"/>
      <c r="G100" s="157"/>
      <c r="H100" s="157"/>
      <c r="I100" s="157"/>
      <c r="J100" s="157"/>
      <c r="K100" s="156"/>
      <c r="L100" s="156"/>
      <c r="M100" s="157"/>
      <c r="N100" s="157"/>
      <c r="O100" s="156"/>
      <c r="P100" s="157"/>
      <c r="Q100" s="157"/>
      <c r="R100" s="156"/>
      <c r="S100" s="156"/>
      <c r="T100" s="114"/>
      <c r="U100" s="114"/>
      <c r="V100" s="2">
        <v>16</v>
      </c>
      <c r="W100" s="910" t="s">
        <v>492</v>
      </c>
      <c r="X100" s="699">
        <f>((Y100+Z100+AA100+AB100+AC100+AD100+AE100+AF100+AG100+AH100+AI100+AJ100+AK100+AL100+AM100+AN100)/16)</f>
        <v>1.3125</v>
      </c>
      <c r="Y100" s="737">
        <v>21</v>
      </c>
      <c r="Z100" s="156"/>
      <c r="AA100" s="156"/>
      <c r="AB100" s="157"/>
      <c r="AC100" s="156"/>
      <c r="AD100" s="156"/>
      <c r="AE100" s="156"/>
      <c r="AF100" s="156"/>
      <c r="AG100" s="156"/>
      <c r="AH100" s="156"/>
      <c r="AI100" s="157"/>
      <c r="AJ100" s="157"/>
      <c r="AK100" s="157"/>
      <c r="AL100" s="157"/>
      <c r="AM100" s="156"/>
      <c r="AN100" s="156"/>
      <c r="AO100" s="116"/>
      <c r="AP100" s="116"/>
    </row>
    <row r="101" spans="1:43" ht="20.399999999999999" x14ac:dyDescent="0.3">
      <c r="A101" s="1">
        <v>2</v>
      </c>
      <c r="B101" s="910" t="s">
        <v>507</v>
      </c>
      <c r="C101" s="699">
        <f t="shared" ref="C101:C113" si="10">((D101+E101+F101+G101+H101+I101+J101+K101+L101+M101+N101+O101+P101+Q101+R101+S101)/16)</f>
        <v>1.8125</v>
      </c>
      <c r="D101" s="156">
        <v>29</v>
      </c>
      <c r="E101" s="156"/>
      <c r="F101" s="156"/>
      <c r="G101" s="156"/>
      <c r="H101" s="156"/>
      <c r="I101" s="156"/>
      <c r="J101" s="157"/>
      <c r="K101" s="156"/>
      <c r="L101" s="156"/>
      <c r="M101" s="156"/>
      <c r="N101" s="156"/>
      <c r="O101" s="156"/>
      <c r="P101" s="156"/>
      <c r="Q101" s="157"/>
      <c r="R101" s="156"/>
      <c r="S101" s="156"/>
      <c r="T101" s="114"/>
      <c r="U101" s="114"/>
      <c r="V101" s="2">
        <v>17</v>
      </c>
      <c r="W101" s="910" t="s">
        <v>493</v>
      </c>
      <c r="X101" s="699">
        <f t="shared" ref="X101:X114" si="11">((Y101+Z101+AA101+AB101+AC101+AD101+AE101+AF101+AG101+AH101+AI101+AJ101+AK101+AL101+AM101+AN101)/16)</f>
        <v>0</v>
      </c>
      <c r="Y101" s="737"/>
      <c r="Z101" s="156"/>
      <c r="AA101" s="156"/>
      <c r="AB101" s="156"/>
      <c r="AC101" s="156"/>
      <c r="AD101" s="156"/>
      <c r="AE101" s="156"/>
      <c r="AF101" s="157"/>
      <c r="AG101" s="156"/>
      <c r="AH101" s="156"/>
      <c r="AI101" s="157"/>
      <c r="AJ101" s="157"/>
      <c r="AK101" s="156"/>
      <c r="AL101" s="157"/>
      <c r="AM101" s="156"/>
      <c r="AN101" s="156"/>
      <c r="AO101" s="116"/>
      <c r="AP101" s="116"/>
    </row>
    <row r="102" spans="1:43" ht="20.399999999999999" x14ac:dyDescent="0.3">
      <c r="A102" s="1">
        <v>3</v>
      </c>
      <c r="B102" s="910" t="s">
        <v>508</v>
      </c>
      <c r="C102" s="699">
        <f t="shared" si="10"/>
        <v>0</v>
      </c>
      <c r="D102" s="156"/>
      <c r="E102" s="156"/>
      <c r="F102" s="156"/>
      <c r="G102" s="157"/>
      <c r="H102" s="156"/>
      <c r="I102" s="156"/>
      <c r="J102" s="156"/>
      <c r="K102" s="156"/>
      <c r="L102" s="156"/>
      <c r="M102" s="157"/>
      <c r="N102" s="157"/>
      <c r="O102" s="157"/>
      <c r="P102" s="156"/>
      <c r="Q102" s="157"/>
      <c r="R102" s="156"/>
      <c r="S102" s="156"/>
      <c r="T102" s="114"/>
      <c r="U102" s="114"/>
      <c r="V102" s="1">
        <v>18</v>
      </c>
      <c r="W102" s="912" t="s">
        <v>494</v>
      </c>
      <c r="X102" s="699">
        <f t="shared" si="11"/>
        <v>2.1875</v>
      </c>
      <c r="Y102" s="737">
        <v>35</v>
      </c>
      <c r="Z102" s="156"/>
      <c r="AA102" s="156"/>
      <c r="AB102" s="156"/>
      <c r="AC102" s="156"/>
      <c r="AD102" s="156"/>
      <c r="AE102" s="156"/>
      <c r="AF102" s="156"/>
      <c r="AG102" s="156"/>
      <c r="AH102" s="156"/>
      <c r="AI102" s="156"/>
      <c r="AJ102" s="156"/>
      <c r="AK102" s="156"/>
      <c r="AL102" s="157"/>
      <c r="AM102" s="156"/>
      <c r="AN102" s="156"/>
      <c r="AO102" s="116"/>
      <c r="AP102" s="116"/>
    </row>
    <row r="103" spans="1:43" ht="20.399999999999999" x14ac:dyDescent="0.3">
      <c r="A103" s="1">
        <v>4</v>
      </c>
      <c r="B103" s="910" t="s">
        <v>509</v>
      </c>
      <c r="C103" s="699">
        <f t="shared" si="10"/>
        <v>0</v>
      </c>
      <c r="D103" s="156"/>
      <c r="E103" s="156"/>
      <c r="F103" s="156"/>
      <c r="G103" s="156"/>
      <c r="H103" s="156"/>
      <c r="I103" s="156"/>
      <c r="J103" s="156"/>
      <c r="K103" s="156"/>
      <c r="L103" s="156"/>
      <c r="M103" s="158"/>
      <c r="N103" s="182"/>
      <c r="O103" s="158"/>
      <c r="P103" s="158"/>
      <c r="Q103" s="182"/>
      <c r="R103" s="158"/>
      <c r="S103" s="158"/>
      <c r="T103" s="115"/>
      <c r="U103" s="115"/>
      <c r="V103" s="2">
        <v>19</v>
      </c>
      <c r="W103" s="910" t="s">
        <v>495</v>
      </c>
      <c r="X103" s="699">
        <f t="shared" si="11"/>
        <v>0</v>
      </c>
      <c r="Y103" s="737"/>
      <c r="Z103" s="156"/>
      <c r="AA103" s="156"/>
      <c r="AB103" s="156"/>
      <c r="AC103" s="156"/>
      <c r="AD103" s="156"/>
      <c r="AE103" s="156"/>
      <c r="AF103" s="156"/>
      <c r="AG103" s="156"/>
      <c r="AH103" s="156"/>
      <c r="AI103" s="156"/>
      <c r="AJ103" s="158"/>
      <c r="AK103" s="156"/>
      <c r="AL103" s="157"/>
      <c r="AM103" s="156"/>
      <c r="AN103" s="156"/>
      <c r="AO103" s="116"/>
      <c r="AP103" s="116"/>
    </row>
    <row r="104" spans="1:43" ht="20.399999999999999" x14ac:dyDescent="0.3">
      <c r="A104" s="1">
        <v>5</v>
      </c>
      <c r="B104" s="910" t="s">
        <v>510</v>
      </c>
      <c r="C104" s="699">
        <f t="shared" si="10"/>
        <v>1.9375</v>
      </c>
      <c r="D104" s="156">
        <v>31</v>
      </c>
      <c r="E104" s="159"/>
      <c r="F104" s="156"/>
      <c r="G104" s="156"/>
      <c r="H104" s="156"/>
      <c r="I104" s="156"/>
      <c r="J104" s="156"/>
      <c r="K104" s="156"/>
      <c r="L104" s="156"/>
      <c r="M104" s="157"/>
      <c r="N104" s="156"/>
      <c r="O104" s="157"/>
      <c r="P104" s="156"/>
      <c r="Q104" s="157"/>
      <c r="R104" s="156"/>
      <c r="S104" s="156"/>
      <c r="T104" s="114"/>
      <c r="U104" s="114"/>
      <c r="V104" s="2">
        <v>20</v>
      </c>
      <c r="W104" s="910" t="s">
        <v>496</v>
      </c>
      <c r="X104" s="699">
        <f t="shared" si="11"/>
        <v>1.125</v>
      </c>
      <c r="Y104" s="737">
        <v>18</v>
      </c>
      <c r="Z104" s="157"/>
      <c r="AA104" s="156"/>
      <c r="AB104" s="156"/>
      <c r="AC104" s="157"/>
      <c r="AD104" s="156"/>
      <c r="AE104" s="157"/>
      <c r="AF104" s="157"/>
      <c r="AG104" s="157"/>
      <c r="AH104" s="156"/>
      <c r="AI104" s="156"/>
      <c r="AJ104" s="156"/>
      <c r="AK104" s="156"/>
      <c r="AL104" s="157"/>
      <c r="AM104" s="156"/>
      <c r="AN104" s="156"/>
      <c r="AO104" s="116"/>
      <c r="AP104" s="116"/>
    </row>
    <row r="105" spans="1:43" ht="20.399999999999999" x14ac:dyDescent="0.3">
      <c r="A105" s="1">
        <v>6</v>
      </c>
      <c r="B105" s="910" t="s">
        <v>511</v>
      </c>
      <c r="C105" s="699">
        <f t="shared" si="10"/>
        <v>0</v>
      </c>
      <c r="D105" s="156"/>
      <c r="E105" s="159"/>
      <c r="F105" s="156"/>
      <c r="G105" s="156"/>
      <c r="H105" s="156"/>
      <c r="I105" s="156"/>
      <c r="J105" s="156"/>
      <c r="K105" s="156"/>
      <c r="L105" s="156"/>
      <c r="M105" s="156"/>
      <c r="N105" s="157"/>
      <c r="O105" s="157"/>
      <c r="P105" s="156"/>
      <c r="Q105" s="157"/>
      <c r="R105" s="156"/>
      <c r="S105" s="156"/>
      <c r="T105" s="114"/>
      <c r="U105" s="114"/>
      <c r="V105" s="1">
        <v>21</v>
      </c>
      <c r="W105" s="910" t="s">
        <v>497</v>
      </c>
      <c r="X105" s="699">
        <f t="shared" si="11"/>
        <v>0.75</v>
      </c>
      <c r="Y105" s="737">
        <v>12</v>
      </c>
      <c r="Z105" s="156"/>
      <c r="AA105" s="156"/>
      <c r="AB105" s="156"/>
      <c r="AC105" s="156"/>
      <c r="AD105" s="156"/>
      <c r="AE105" s="156"/>
      <c r="AF105" s="156"/>
      <c r="AG105" s="156"/>
      <c r="AH105" s="156"/>
      <c r="AI105" s="156"/>
      <c r="AJ105" s="156"/>
      <c r="AK105" s="156"/>
      <c r="AL105" s="157"/>
      <c r="AM105" s="156"/>
      <c r="AN105" s="156"/>
      <c r="AO105" s="116"/>
      <c r="AP105" s="116"/>
    </row>
    <row r="106" spans="1:43" ht="20.399999999999999" x14ac:dyDescent="0.3">
      <c r="A106" s="1">
        <v>7</v>
      </c>
      <c r="B106" s="910" t="s">
        <v>512</v>
      </c>
      <c r="C106" s="699">
        <f t="shared" si="10"/>
        <v>1.125</v>
      </c>
      <c r="D106" s="156">
        <v>18</v>
      </c>
      <c r="E106" s="156"/>
      <c r="F106" s="157"/>
      <c r="G106" s="156"/>
      <c r="H106" s="156"/>
      <c r="I106" s="156"/>
      <c r="J106" s="156"/>
      <c r="K106" s="157"/>
      <c r="L106" s="156"/>
      <c r="M106" s="156"/>
      <c r="N106" s="157"/>
      <c r="O106" s="157"/>
      <c r="P106" s="156"/>
      <c r="Q106" s="157"/>
      <c r="R106" s="156"/>
      <c r="S106" s="156"/>
      <c r="T106" s="114"/>
      <c r="U106" s="114"/>
      <c r="V106" s="2">
        <v>22</v>
      </c>
      <c r="W106" s="910" t="s">
        <v>498</v>
      </c>
      <c r="X106" s="699">
        <f t="shared" si="11"/>
        <v>0.875</v>
      </c>
      <c r="Y106" s="737">
        <v>14</v>
      </c>
      <c r="Z106" s="156"/>
      <c r="AA106" s="156"/>
      <c r="AB106" s="156"/>
      <c r="AC106" s="156"/>
      <c r="AD106" s="156"/>
      <c r="AE106" s="157"/>
      <c r="AF106" s="156"/>
      <c r="AG106" s="156"/>
      <c r="AH106" s="156"/>
      <c r="AI106" s="157"/>
      <c r="AJ106" s="157"/>
      <c r="AK106" s="157"/>
      <c r="AL106" s="157"/>
      <c r="AM106" s="156"/>
      <c r="AN106" s="156"/>
      <c r="AO106" s="116"/>
      <c r="AP106" s="116"/>
    </row>
    <row r="107" spans="1:43" ht="20.399999999999999" x14ac:dyDescent="0.3">
      <c r="A107" s="1">
        <v>8</v>
      </c>
      <c r="B107" s="910" t="s">
        <v>513</v>
      </c>
      <c r="C107" s="699">
        <f t="shared" si="10"/>
        <v>1.125</v>
      </c>
      <c r="D107" s="156">
        <v>18</v>
      </c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7"/>
      <c r="R107" s="156"/>
      <c r="S107" s="156"/>
      <c r="T107" s="114"/>
      <c r="U107" s="114"/>
      <c r="V107" s="2">
        <v>23</v>
      </c>
      <c r="W107" s="910" t="s">
        <v>499</v>
      </c>
      <c r="X107" s="699">
        <f t="shared" si="11"/>
        <v>0</v>
      </c>
      <c r="Y107" s="737"/>
      <c r="Z107" s="156"/>
      <c r="AA107" s="156"/>
      <c r="AB107" s="157"/>
      <c r="AC107" s="156"/>
      <c r="AD107" s="156"/>
      <c r="AE107" s="156"/>
      <c r="AF107" s="157"/>
      <c r="AG107" s="156"/>
      <c r="AH107" s="156"/>
      <c r="AI107" s="156"/>
      <c r="AJ107" s="156"/>
      <c r="AK107" s="156"/>
      <c r="AL107" s="157"/>
      <c r="AM107" s="156"/>
      <c r="AN107" s="156"/>
      <c r="AO107" s="116"/>
      <c r="AP107" s="116"/>
    </row>
    <row r="108" spans="1:43" x14ac:dyDescent="0.3">
      <c r="A108" s="1">
        <v>9</v>
      </c>
      <c r="B108" s="910" t="s">
        <v>514</v>
      </c>
      <c r="C108" s="699">
        <f t="shared" si="10"/>
        <v>0</v>
      </c>
      <c r="D108" s="156"/>
      <c r="E108" s="156"/>
      <c r="F108" s="156"/>
      <c r="G108" s="156"/>
      <c r="H108" s="159"/>
      <c r="I108" s="156"/>
      <c r="J108" s="156"/>
      <c r="K108" s="156"/>
      <c r="L108" s="156"/>
      <c r="M108" s="156"/>
      <c r="N108" s="156"/>
      <c r="O108" s="156"/>
      <c r="P108" s="156"/>
      <c r="Q108" s="157"/>
      <c r="R108" s="156"/>
      <c r="S108" s="156"/>
      <c r="T108" s="114"/>
      <c r="U108" s="114"/>
      <c r="V108" s="1">
        <v>24</v>
      </c>
      <c r="W108" s="910" t="s">
        <v>500</v>
      </c>
      <c r="X108" s="699">
        <f t="shared" si="11"/>
        <v>1.125</v>
      </c>
      <c r="Y108" s="737">
        <v>18</v>
      </c>
      <c r="Z108" s="156"/>
      <c r="AA108" s="156"/>
      <c r="AB108" s="156"/>
      <c r="AC108" s="156"/>
      <c r="AD108" s="156"/>
      <c r="AE108" s="156"/>
      <c r="AF108" s="156"/>
      <c r="AG108" s="156"/>
      <c r="AH108" s="157"/>
      <c r="AI108" s="157"/>
      <c r="AJ108" s="157"/>
      <c r="AK108" s="157"/>
      <c r="AL108" s="157"/>
      <c r="AM108" s="156"/>
      <c r="AN108" s="157"/>
      <c r="AO108" s="116"/>
      <c r="AP108" s="116"/>
    </row>
    <row r="109" spans="1:43" ht="20.399999999999999" x14ac:dyDescent="0.3">
      <c r="A109" s="1">
        <v>10</v>
      </c>
      <c r="B109" s="911" t="s">
        <v>515</v>
      </c>
      <c r="C109" s="699">
        <f t="shared" si="10"/>
        <v>2</v>
      </c>
      <c r="D109" s="157">
        <v>32</v>
      </c>
      <c r="E109" s="157"/>
      <c r="F109" s="156"/>
      <c r="G109" s="157"/>
      <c r="H109" s="157"/>
      <c r="I109" s="157"/>
      <c r="J109" s="157"/>
      <c r="K109" s="157"/>
      <c r="L109" s="157"/>
      <c r="M109" s="157"/>
      <c r="N109" s="157"/>
      <c r="O109" s="157"/>
      <c r="P109" s="156"/>
      <c r="Q109" s="157"/>
      <c r="R109" s="156"/>
      <c r="S109" s="157"/>
      <c r="T109" s="114"/>
      <c r="U109" s="114"/>
      <c r="V109" s="2">
        <v>25</v>
      </c>
      <c r="W109" s="910" t="s">
        <v>501</v>
      </c>
      <c r="X109" s="699">
        <f t="shared" si="11"/>
        <v>2</v>
      </c>
      <c r="Y109" s="737">
        <v>32</v>
      </c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157"/>
      <c r="AJ109" s="157"/>
      <c r="AK109" s="157"/>
      <c r="AL109" s="157"/>
      <c r="AM109" s="157"/>
      <c r="AN109" s="157"/>
      <c r="AO109" s="116"/>
      <c r="AP109" s="116"/>
    </row>
    <row r="110" spans="1:43" ht="20.399999999999999" x14ac:dyDescent="0.3">
      <c r="A110" s="1">
        <v>11</v>
      </c>
      <c r="B110" s="910" t="s">
        <v>516</v>
      </c>
      <c r="C110" s="699">
        <f t="shared" si="10"/>
        <v>1.5</v>
      </c>
      <c r="D110" s="156">
        <v>24</v>
      </c>
      <c r="E110" s="156"/>
      <c r="F110" s="156"/>
      <c r="G110" s="156"/>
      <c r="H110" s="156"/>
      <c r="I110" s="156"/>
      <c r="J110" s="156"/>
      <c r="K110" s="157"/>
      <c r="L110" s="156"/>
      <c r="M110" s="156"/>
      <c r="N110" s="157"/>
      <c r="O110" s="156"/>
      <c r="P110" s="157"/>
      <c r="Q110" s="157"/>
      <c r="R110" s="156"/>
      <c r="S110" s="156"/>
      <c r="T110" s="114"/>
      <c r="U110" s="114"/>
      <c r="V110" s="2">
        <v>26</v>
      </c>
      <c r="W110" s="913" t="s">
        <v>502</v>
      </c>
      <c r="X110" s="699">
        <f t="shared" si="11"/>
        <v>0</v>
      </c>
      <c r="Y110" s="737"/>
      <c r="Z110" s="156"/>
      <c r="AA110" s="156"/>
      <c r="AB110" s="156"/>
      <c r="AC110" s="159"/>
      <c r="AD110" s="156"/>
      <c r="AE110" s="156"/>
      <c r="AF110" s="156"/>
      <c r="AG110" s="156"/>
      <c r="AH110" s="157"/>
      <c r="AI110" s="156"/>
      <c r="AJ110" s="157"/>
      <c r="AK110" s="156"/>
      <c r="AL110" s="157"/>
      <c r="AM110" s="156"/>
      <c r="AN110" s="156"/>
      <c r="AO110" s="116"/>
      <c r="AP110" s="116"/>
    </row>
    <row r="111" spans="1:43" x14ac:dyDescent="0.3">
      <c r="A111" s="1">
        <v>12</v>
      </c>
      <c r="B111" s="910" t="s">
        <v>517</v>
      </c>
      <c r="C111" s="699">
        <f t="shared" si="10"/>
        <v>0</v>
      </c>
      <c r="D111" s="156"/>
      <c r="E111" s="156"/>
      <c r="F111" s="157"/>
      <c r="G111" s="156"/>
      <c r="H111" s="156"/>
      <c r="I111" s="156"/>
      <c r="J111" s="156"/>
      <c r="K111" s="156"/>
      <c r="L111" s="156"/>
      <c r="M111" s="157"/>
      <c r="N111" s="157"/>
      <c r="O111" s="157"/>
      <c r="P111" s="156"/>
      <c r="Q111" s="157"/>
      <c r="R111" s="156"/>
      <c r="S111" s="156"/>
      <c r="T111" s="114"/>
      <c r="U111" s="114"/>
      <c r="V111" s="1">
        <v>27</v>
      </c>
      <c r="W111" s="914" t="s">
        <v>491</v>
      </c>
      <c r="X111" s="699">
        <f t="shared" si="11"/>
        <v>1.4375</v>
      </c>
      <c r="Y111" s="737">
        <v>23</v>
      </c>
      <c r="Z111" s="156"/>
      <c r="AA111" s="156"/>
      <c r="AB111" s="156"/>
      <c r="AC111" s="157"/>
      <c r="AD111" s="157"/>
      <c r="AE111" s="156"/>
      <c r="AF111" s="156"/>
      <c r="AG111" s="156"/>
      <c r="AH111" s="157"/>
      <c r="AI111" s="157"/>
      <c r="AJ111" s="156"/>
      <c r="AK111" s="156"/>
      <c r="AL111" s="157"/>
      <c r="AM111" s="156"/>
      <c r="AN111" s="156"/>
      <c r="AO111" s="116"/>
      <c r="AP111" s="116"/>
    </row>
    <row r="112" spans="1:43" ht="20.399999999999999" x14ac:dyDescent="0.3">
      <c r="A112" s="1">
        <v>13</v>
      </c>
      <c r="B112" s="910" t="s">
        <v>518</v>
      </c>
      <c r="C112" s="699">
        <f t="shared" si="10"/>
        <v>1.25</v>
      </c>
      <c r="D112" s="156">
        <v>20</v>
      </c>
      <c r="E112" s="156"/>
      <c r="F112" s="156"/>
      <c r="G112" s="156"/>
      <c r="H112" s="156"/>
      <c r="I112" s="156"/>
      <c r="J112" s="157"/>
      <c r="K112" s="156"/>
      <c r="L112" s="156"/>
      <c r="M112" s="156"/>
      <c r="N112" s="157"/>
      <c r="O112" s="156"/>
      <c r="P112" s="156"/>
      <c r="Q112" s="157"/>
      <c r="R112" s="156"/>
      <c r="S112" s="156"/>
      <c r="T112" s="114"/>
      <c r="U112" s="114"/>
      <c r="V112" s="2">
        <v>28</v>
      </c>
      <c r="W112" s="910" t="s">
        <v>503</v>
      </c>
      <c r="X112" s="699">
        <f t="shared" si="11"/>
        <v>0</v>
      </c>
      <c r="Y112" s="737"/>
      <c r="Z112" s="156"/>
      <c r="AA112" s="156"/>
      <c r="AB112" s="156"/>
      <c r="AC112" s="156"/>
      <c r="AD112" s="156"/>
      <c r="AE112" s="156"/>
      <c r="AF112" s="156"/>
      <c r="AG112" s="156"/>
      <c r="AH112" s="157"/>
      <c r="AI112" s="156"/>
      <c r="AJ112" s="156"/>
      <c r="AK112" s="157"/>
      <c r="AL112" s="157"/>
      <c r="AM112" s="171"/>
      <c r="AN112" s="171"/>
      <c r="AO112" s="116"/>
      <c r="AP112" s="116"/>
    </row>
    <row r="113" spans="1:42" ht="20.399999999999999" x14ac:dyDescent="0.3">
      <c r="A113" s="1">
        <v>14</v>
      </c>
      <c r="B113" s="910" t="s">
        <v>519</v>
      </c>
      <c r="C113" s="699">
        <f t="shared" si="10"/>
        <v>0</v>
      </c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7"/>
      <c r="R113" s="156"/>
      <c r="S113" s="156"/>
      <c r="T113" s="114"/>
      <c r="U113" s="114"/>
      <c r="V113" s="2">
        <v>29</v>
      </c>
      <c r="W113" s="910" t="s">
        <v>504</v>
      </c>
      <c r="X113" s="699">
        <f t="shared" si="11"/>
        <v>0</v>
      </c>
      <c r="Y113" s="737"/>
      <c r="Z113" s="156"/>
      <c r="AA113" s="156"/>
      <c r="AB113" s="156"/>
      <c r="AC113" s="156"/>
      <c r="AD113" s="156"/>
      <c r="AE113" s="156"/>
      <c r="AF113" s="156"/>
      <c r="AG113" s="157"/>
      <c r="AH113" s="156"/>
      <c r="AI113" s="156"/>
      <c r="AJ113" s="156"/>
      <c r="AK113" s="157"/>
      <c r="AL113" s="157"/>
      <c r="AM113" s="171"/>
      <c r="AN113" s="171"/>
      <c r="AO113" s="116"/>
      <c r="AP113" s="116"/>
    </row>
    <row r="114" spans="1:42" ht="20.399999999999999" x14ac:dyDescent="0.3">
      <c r="A114" s="1">
        <v>15</v>
      </c>
      <c r="B114" s="910" t="s">
        <v>520</v>
      </c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1">
        <v>30</v>
      </c>
      <c r="W114" s="910" t="s">
        <v>505</v>
      </c>
      <c r="X114" s="699">
        <f t="shared" si="11"/>
        <v>1.125</v>
      </c>
      <c r="Y114" s="72">
        <v>18</v>
      </c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</sheetData>
  <mergeCells count="42">
    <mergeCell ref="A77:AP77"/>
    <mergeCell ref="A78:B80"/>
    <mergeCell ref="C78:C80"/>
    <mergeCell ref="D78:U78"/>
    <mergeCell ref="V78:W80"/>
    <mergeCell ref="X78:X80"/>
    <mergeCell ref="Y78:AP78"/>
    <mergeCell ref="A39:AP39"/>
    <mergeCell ref="A40:B42"/>
    <mergeCell ref="C40:C42"/>
    <mergeCell ref="D40:U40"/>
    <mergeCell ref="V40:W42"/>
    <mergeCell ref="X40:X42"/>
    <mergeCell ref="Y40:AP40"/>
    <mergeCell ref="A21:B23"/>
    <mergeCell ref="C21:C23"/>
    <mergeCell ref="V21:W23"/>
    <mergeCell ref="X21:X23"/>
    <mergeCell ref="A20:AP20"/>
    <mergeCell ref="D21:U21"/>
    <mergeCell ref="Y21:AP21"/>
    <mergeCell ref="A1:AP1"/>
    <mergeCell ref="D2:U2"/>
    <mergeCell ref="Y2:AP2"/>
    <mergeCell ref="A2:B4"/>
    <mergeCell ref="C2:C4"/>
    <mergeCell ref="V2:W4"/>
    <mergeCell ref="X2:X4"/>
    <mergeCell ref="A58:AP58"/>
    <mergeCell ref="A59:B61"/>
    <mergeCell ref="C59:C61"/>
    <mergeCell ref="D59:U59"/>
    <mergeCell ref="V59:W61"/>
    <mergeCell ref="X59:X61"/>
    <mergeCell ref="Y59:AP59"/>
    <mergeCell ref="A96:AP96"/>
    <mergeCell ref="A97:B99"/>
    <mergeCell ref="C97:C99"/>
    <mergeCell ref="D97:U97"/>
    <mergeCell ref="V97:W99"/>
    <mergeCell ref="X97:X99"/>
    <mergeCell ref="Y97:AP97"/>
  </mergeCells>
  <pageMargins left="0.23622047244094491" right="3.937007874015748E-2" top="0.55118110236220474" bottom="0.74803149606299213" header="0.31496062992125984" footer="0.31496062992125984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4"/>
  <sheetViews>
    <sheetView workbookViewId="0">
      <selection activeCell="AD10" sqref="AD10"/>
    </sheetView>
  </sheetViews>
  <sheetFormatPr baseColWidth="10" defaultRowHeight="14.4" x14ac:dyDescent="0.3"/>
  <cols>
    <col min="1" max="1" width="5.88671875" customWidth="1"/>
    <col min="2" max="27" width="3" customWidth="1"/>
    <col min="28" max="28" width="7.109375" customWidth="1"/>
  </cols>
  <sheetData>
    <row r="1" spans="1:28" ht="30" customHeight="1" thickBot="1" x14ac:dyDescent="0.35">
      <c r="A1" s="781" t="s">
        <v>490</v>
      </c>
      <c r="B1" s="782"/>
      <c r="C1" s="782"/>
      <c r="D1" s="782"/>
      <c r="E1" s="782"/>
      <c r="F1" s="782"/>
      <c r="G1" s="782"/>
      <c r="H1" s="782"/>
      <c r="I1" s="782"/>
      <c r="J1" s="782"/>
      <c r="K1" s="782"/>
      <c r="L1" s="782"/>
      <c r="M1" s="782"/>
      <c r="N1" s="782"/>
      <c r="O1" s="782"/>
      <c r="P1" s="782"/>
      <c r="Q1" s="782"/>
      <c r="R1" s="782"/>
      <c r="S1" s="782"/>
      <c r="T1" s="782"/>
      <c r="U1" s="782"/>
      <c r="V1" s="782"/>
      <c r="W1" s="782"/>
      <c r="X1" s="782"/>
      <c r="Y1" s="782"/>
      <c r="Z1" s="782"/>
      <c r="AA1" s="782"/>
      <c r="AB1" s="783"/>
    </row>
    <row r="2" spans="1:28" ht="18" customHeight="1" thickBot="1" x14ac:dyDescent="0.35">
      <c r="A2" s="792" t="s">
        <v>481</v>
      </c>
      <c r="B2" s="793"/>
      <c r="C2" s="793"/>
      <c r="D2" s="793"/>
      <c r="E2" s="793"/>
      <c r="F2" s="793"/>
      <c r="G2" s="793"/>
      <c r="H2" s="796"/>
      <c r="I2" s="797"/>
      <c r="J2" s="797"/>
      <c r="K2" s="797"/>
      <c r="L2" s="797"/>
      <c r="M2" s="797"/>
      <c r="N2" s="797"/>
      <c r="O2" s="797"/>
      <c r="P2" s="797"/>
      <c r="Q2" s="797"/>
      <c r="R2" s="797"/>
      <c r="S2" s="797"/>
      <c r="T2" s="797"/>
      <c r="U2" s="797"/>
      <c r="V2" s="798"/>
      <c r="W2" s="799" t="s">
        <v>489</v>
      </c>
      <c r="X2" s="800"/>
      <c r="Y2" s="800"/>
      <c r="Z2" s="800"/>
      <c r="AA2" s="800"/>
      <c r="AB2" s="801"/>
    </row>
    <row r="3" spans="1:28" ht="18" customHeight="1" thickBot="1" x14ac:dyDescent="0.35">
      <c r="A3" s="779" t="s">
        <v>482</v>
      </c>
      <c r="B3" s="786" t="s">
        <v>483</v>
      </c>
      <c r="C3" s="787"/>
      <c r="D3" s="787"/>
      <c r="E3" s="787"/>
      <c r="F3" s="787"/>
      <c r="G3" s="787"/>
      <c r="H3" s="787"/>
      <c r="I3" s="787"/>
      <c r="J3" s="787"/>
      <c r="K3" s="787"/>
      <c r="L3" s="787"/>
      <c r="M3" s="787"/>
      <c r="N3" s="787"/>
      <c r="O3" s="787"/>
      <c r="P3" s="787"/>
      <c r="Q3" s="787"/>
      <c r="R3" s="787"/>
      <c r="S3" s="787"/>
      <c r="T3" s="787"/>
      <c r="U3" s="787"/>
      <c r="V3" s="787"/>
      <c r="W3" s="787"/>
      <c r="X3" s="787"/>
      <c r="Y3" s="787"/>
      <c r="Z3" s="787"/>
      <c r="AA3" s="787"/>
      <c r="AB3" s="788"/>
    </row>
    <row r="4" spans="1:28" ht="10.8" customHeight="1" x14ac:dyDescent="0.3">
      <c r="A4" s="779"/>
      <c r="B4" s="749">
        <v>1</v>
      </c>
      <c r="C4" s="95">
        <v>2</v>
      </c>
      <c r="D4" s="95">
        <v>3</v>
      </c>
      <c r="E4" s="95">
        <v>4</v>
      </c>
      <c r="F4" s="95">
        <v>5</v>
      </c>
      <c r="G4" s="95">
        <v>6</v>
      </c>
      <c r="H4" s="95">
        <v>7</v>
      </c>
      <c r="I4" s="95">
        <v>8</v>
      </c>
      <c r="J4" s="95">
        <v>9</v>
      </c>
      <c r="K4" s="95">
        <v>10</v>
      </c>
      <c r="L4" s="95">
        <v>11</v>
      </c>
      <c r="M4" s="95">
        <v>12</v>
      </c>
      <c r="N4" s="95">
        <v>13</v>
      </c>
      <c r="O4" s="95">
        <v>14</v>
      </c>
      <c r="P4" s="95">
        <v>15</v>
      </c>
      <c r="Q4" s="95">
        <v>16</v>
      </c>
      <c r="R4" s="95">
        <v>17</v>
      </c>
      <c r="S4" s="95">
        <v>18</v>
      </c>
      <c r="T4" s="95">
        <v>19</v>
      </c>
      <c r="U4" s="95">
        <v>20</v>
      </c>
      <c r="V4" s="95">
        <v>21</v>
      </c>
      <c r="W4" s="95">
        <v>22</v>
      </c>
      <c r="X4" s="95">
        <v>23</v>
      </c>
      <c r="Y4" s="95">
        <v>24</v>
      </c>
      <c r="Z4" s="95">
        <v>25</v>
      </c>
      <c r="AA4" s="95">
        <v>26</v>
      </c>
      <c r="AB4" s="784" t="s">
        <v>488</v>
      </c>
    </row>
    <row r="5" spans="1:28" ht="22.8" customHeight="1" thickBot="1" x14ac:dyDescent="0.35">
      <c r="A5" s="779"/>
      <c r="B5" s="789" t="s">
        <v>486</v>
      </c>
      <c r="C5" s="790"/>
      <c r="D5" s="790"/>
      <c r="E5" s="790"/>
      <c r="F5" s="790"/>
      <c r="G5" s="790"/>
      <c r="H5" s="790"/>
      <c r="I5" s="790"/>
      <c r="J5" s="790"/>
      <c r="K5" s="790"/>
      <c r="L5" s="790"/>
      <c r="M5" s="790"/>
      <c r="N5" s="790"/>
      <c r="O5" s="790"/>
      <c r="P5" s="790"/>
      <c r="Q5" s="790"/>
      <c r="R5" s="790"/>
      <c r="S5" s="790"/>
      <c r="T5" s="790"/>
      <c r="U5" s="790"/>
      <c r="V5" s="790"/>
      <c r="W5" s="790"/>
      <c r="X5" s="790"/>
      <c r="Y5" s="790"/>
      <c r="Z5" s="790"/>
      <c r="AA5" s="791"/>
      <c r="AB5" s="785"/>
    </row>
    <row r="6" spans="1:28" ht="15" thickBot="1" x14ac:dyDescent="0.35">
      <c r="A6" s="779"/>
      <c r="B6" s="750"/>
      <c r="C6" s="751"/>
      <c r="D6" s="752"/>
      <c r="E6" s="751"/>
      <c r="F6" s="751"/>
      <c r="G6" s="751"/>
      <c r="H6" s="751"/>
      <c r="I6" s="753"/>
      <c r="J6" s="753"/>
      <c r="K6" s="751"/>
      <c r="L6" s="751"/>
      <c r="M6" s="754"/>
      <c r="N6" s="754"/>
      <c r="O6" s="754"/>
      <c r="P6" s="754"/>
      <c r="Q6" s="754"/>
      <c r="R6" s="754"/>
      <c r="S6" s="754"/>
      <c r="T6" s="754"/>
      <c r="U6" s="754"/>
      <c r="V6" s="754"/>
      <c r="W6" s="754"/>
      <c r="X6" s="752"/>
      <c r="Y6" s="755"/>
      <c r="Z6" s="756"/>
      <c r="AA6" s="747"/>
      <c r="AB6" s="58"/>
    </row>
    <row r="7" spans="1:28" ht="10.8" customHeight="1" x14ac:dyDescent="0.3">
      <c r="A7" s="779"/>
      <c r="B7" s="744">
        <v>1</v>
      </c>
      <c r="C7" s="745">
        <v>2</v>
      </c>
      <c r="D7" s="745">
        <v>3</v>
      </c>
      <c r="E7" s="745">
        <v>4</v>
      </c>
      <c r="F7" s="745">
        <v>5</v>
      </c>
      <c r="G7" s="745">
        <v>6</v>
      </c>
      <c r="H7" s="745">
        <v>7</v>
      </c>
      <c r="I7" s="745">
        <v>8</v>
      </c>
      <c r="J7" s="745">
        <v>9</v>
      </c>
      <c r="K7" s="745">
        <v>10</v>
      </c>
      <c r="L7" s="745">
        <v>11</v>
      </c>
      <c r="M7" s="745">
        <v>12</v>
      </c>
      <c r="N7" s="745">
        <v>13</v>
      </c>
      <c r="O7" s="745">
        <v>14</v>
      </c>
      <c r="P7" s="745">
        <v>15</v>
      </c>
      <c r="Q7" s="745">
        <v>16</v>
      </c>
      <c r="R7" s="745">
        <v>17</v>
      </c>
      <c r="S7" s="745">
        <v>18</v>
      </c>
      <c r="T7" s="745">
        <v>19</v>
      </c>
      <c r="U7" s="745">
        <v>20</v>
      </c>
      <c r="V7" s="745">
        <v>21</v>
      </c>
      <c r="W7" s="745">
        <v>22</v>
      </c>
      <c r="X7" s="745">
        <v>23</v>
      </c>
      <c r="Y7" s="745">
        <v>24</v>
      </c>
      <c r="Z7" s="745">
        <v>25</v>
      </c>
      <c r="AA7" s="748">
        <v>26</v>
      </c>
      <c r="AB7" s="794" t="s">
        <v>488</v>
      </c>
    </row>
    <row r="8" spans="1:28" ht="22.8" customHeight="1" thickBot="1" x14ac:dyDescent="0.35">
      <c r="A8" s="779"/>
      <c r="B8" s="777" t="s">
        <v>487</v>
      </c>
      <c r="C8" s="778"/>
      <c r="D8" s="778"/>
      <c r="E8" s="778"/>
      <c r="F8" s="778"/>
      <c r="G8" s="778"/>
      <c r="H8" s="778"/>
      <c r="I8" s="778"/>
      <c r="J8" s="778"/>
      <c r="K8" s="778"/>
      <c r="L8" s="778"/>
      <c r="M8" s="778"/>
      <c r="N8" s="778"/>
      <c r="O8" s="778"/>
      <c r="P8" s="778"/>
      <c r="Q8" s="778"/>
      <c r="R8" s="778"/>
      <c r="S8" s="778"/>
      <c r="T8" s="778"/>
      <c r="U8" s="778"/>
      <c r="V8" s="778"/>
      <c r="W8" s="778"/>
      <c r="X8" s="778"/>
      <c r="Y8" s="778"/>
      <c r="Z8" s="778"/>
      <c r="AA8" s="778"/>
      <c r="AB8" s="795"/>
    </row>
    <row r="9" spans="1:28" ht="15" thickBot="1" x14ac:dyDescent="0.35">
      <c r="A9" s="780"/>
      <c r="B9" s="746"/>
      <c r="C9" s="741"/>
      <c r="D9" s="741"/>
      <c r="E9" s="740"/>
      <c r="F9" s="740"/>
      <c r="G9" s="740"/>
      <c r="H9" s="740"/>
      <c r="I9" s="741"/>
      <c r="J9" s="741"/>
      <c r="K9" s="740"/>
      <c r="L9" s="740"/>
      <c r="M9" s="741"/>
      <c r="N9" s="740"/>
      <c r="O9" s="740"/>
      <c r="P9" s="741"/>
      <c r="Q9" s="741"/>
      <c r="R9" s="742"/>
      <c r="S9" s="742"/>
      <c r="T9" s="742"/>
      <c r="U9" s="742"/>
      <c r="V9" s="742"/>
      <c r="W9" s="742"/>
      <c r="X9" s="743"/>
      <c r="Y9" s="741"/>
      <c r="Z9" s="741"/>
      <c r="AA9" s="747"/>
      <c r="AB9" s="58"/>
    </row>
    <row r="10" spans="1:28" ht="18" customHeight="1" thickBot="1" x14ac:dyDescent="0.35">
      <c r="A10" s="779" t="s">
        <v>482</v>
      </c>
      <c r="B10" s="774" t="s">
        <v>53</v>
      </c>
      <c r="C10" s="775"/>
      <c r="D10" s="775"/>
      <c r="E10" s="775"/>
      <c r="F10" s="775"/>
      <c r="G10" s="775"/>
      <c r="H10" s="775"/>
      <c r="I10" s="775"/>
      <c r="J10" s="775"/>
      <c r="K10" s="775"/>
      <c r="L10" s="775"/>
      <c r="M10" s="775"/>
      <c r="N10" s="775"/>
      <c r="O10" s="775"/>
      <c r="P10" s="775"/>
      <c r="Q10" s="775"/>
      <c r="R10" s="775"/>
      <c r="S10" s="775"/>
      <c r="T10" s="775"/>
      <c r="U10" s="775"/>
      <c r="V10" s="775"/>
      <c r="W10" s="775"/>
      <c r="X10" s="775"/>
      <c r="Y10" s="775"/>
      <c r="Z10" s="775"/>
      <c r="AA10" s="775"/>
      <c r="AB10" s="776"/>
    </row>
    <row r="11" spans="1:28" ht="10.8" customHeight="1" x14ac:dyDescent="0.3">
      <c r="A11" s="779"/>
      <c r="B11" s="749">
        <v>1</v>
      </c>
      <c r="C11" s="95">
        <v>2</v>
      </c>
      <c r="D11" s="95">
        <v>3</v>
      </c>
      <c r="E11" s="95">
        <v>4</v>
      </c>
      <c r="F11" s="95">
        <v>5</v>
      </c>
      <c r="G11" s="95">
        <v>6</v>
      </c>
      <c r="H11" s="95">
        <v>7</v>
      </c>
      <c r="I11" s="95">
        <v>8</v>
      </c>
      <c r="J11" s="95">
        <v>9</v>
      </c>
      <c r="K11" s="95">
        <v>10</v>
      </c>
      <c r="L11" s="95">
        <v>11</v>
      </c>
      <c r="M11" s="95">
        <v>12</v>
      </c>
      <c r="N11" s="95">
        <v>13</v>
      </c>
      <c r="O11" s="95">
        <v>14</v>
      </c>
      <c r="P11" s="95">
        <v>15</v>
      </c>
      <c r="Q11" s="95">
        <v>16</v>
      </c>
      <c r="R11" s="95">
        <v>17</v>
      </c>
      <c r="S11" s="95">
        <v>18</v>
      </c>
      <c r="T11" s="95">
        <v>19</v>
      </c>
      <c r="U11" s="95">
        <v>20</v>
      </c>
      <c r="V11" s="95">
        <v>21</v>
      </c>
      <c r="W11" s="95">
        <v>22</v>
      </c>
      <c r="X11" s="95">
        <v>23</v>
      </c>
      <c r="Y11" s="95">
        <v>24</v>
      </c>
      <c r="Z11" s="95">
        <v>25</v>
      </c>
      <c r="AA11" s="95">
        <v>26</v>
      </c>
      <c r="AB11" s="784" t="s">
        <v>488</v>
      </c>
    </row>
    <row r="12" spans="1:28" ht="22.8" customHeight="1" thickBot="1" x14ac:dyDescent="0.35">
      <c r="A12" s="779"/>
      <c r="B12" s="789" t="s">
        <v>486</v>
      </c>
      <c r="C12" s="790"/>
      <c r="D12" s="790"/>
      <c r="E12" s="790"/>
      <c r="F12" s="790"/>
      <c r="G12" s="790"/>
      <c r="H12" s="790"/>
      <c r="I12" s="790"/>
      <c r="J12" s="790"/>
      <c r="K12" s="790"/>
      <c r="L12" s="790"/>
      <c r="M12" s="790"/>
      <c r="N12" s="790"/>
      <c r="O12" s="790"/>
      <c r="P12" s="790"/>
      <c r="Q12" s="790"/>
      <c r="R12" s="790"/>
      <c r="S12" s="790"/>
      <c r="T12" s="790"/>
      <c r="U12" s="790"/>
      <c r="V12" s="790"/>
      <c r="W12" s="790"/>
      <c r="X12" s="790"/>
      <c r="Y12" s="790"/>
      <c r="Z12" s="790"/>
      <c r="AA12" s="791"/>
      <c r="AB12" s="785"/>
    </row>
    <row r="13" spans="1:28" ht="15" thickBot="1" x14ac:dyDescent="0.35">
      <c r="A13" s="779"/>
      <c r="B13" s="750"/>
      <c r="C13" s="751"/>
      <c r="D13" s="752"/>
      <c r="E13" s="751"/>
      <c r="F13" s="751"/>
      <c r="G13" s="751"/>
      <c r="H13" s="751"/>
      <c r="I13" s="753"/>
      <c r="J13" s="753"/>
      <c r="K13" s="751"/>
      <c r="L13" s="751"/>
      <c r="M13" s="754"/>
      <c r="N13" s="754"/>
      <c r="O13" s="754"/>
      <c r="P13" s="754"/>
      <c r="Q13" s="754"/>
      <c r="R13" s="754"/>
      <c r="S13" s="754"/>
      <c r="T13" s="754"/>
      <c r="U13" s="754"/>
      <c r="V13" s="754"/>
      <c r="W13" s="754"/>
      <c r="X13" s="752"/>
      <c r="Y13" s="755"/>
      <c r="Z13" s="756"/>
      <c r="AA13" s="747"/>
      <c r="AB13" s="58"/>
    </row>
    <row r="14" spans="1:28" x14ac:dyDescent="0.3">
      <c r="A14" s="779"/>
      <c r="B14" s="744">
        <v>1</v>
      </c>
      <c r="C14" s="745">
        <v>2</v>
      </c>
      <c r="D14" s="745">
        <v>3</v>
      </c>
      <c r="E14" s="745">
        <v>4</v>
      </c>
      <c r="F14" s="745">
        <v>5</v>
      </c>
      <c r="G14" s="745">
        <v>6</v>
      </c>
      <c r="H14" s="745">
        <v>7</v>
      </c>
      <c r="I14" s="745">
        <v>8</v>
      </c>
      <c r="J14" s="745">
        <v>9</v>
      </c>
      <c r="K14" s="745">
        <v>10</v>
      </c>
      <c r="L14" s="745">
        <v>11</v>
      </c>
      <c r="M14" s="745">
        <v>12</v>
      </c>
      <c r="N14" s="745">
        <v>13</v>
      </c>
      <c r="O14" s="745">
        <v>14</v>
      </c>
      <c r="P14" s="745">
        <v>15</v>
      </c>
      <c r="Q14" s="745">
        <v>16</v>
      </c>
      <c r="R14" s="745">
        <v>17</v>
      </c>
      <c r="S14" s="745">
        <v>18</v>
      </c>
      <c r="T14" s="745">
        <v>19</v>
      </c>
      <c r="U14" s="745">
        <v>20</v>
      </c>
      <c r="V14" s="745">
        <v>21</v>
      </c>
      <c r="W14" s="745">
        <v>22</v>
      </c>
      <c r="X14" s="745">
        <v>23</v>
      </c>
      <c r="Y14" s="745">
        <v>24</v>
      </c>
      <c r="Z14" s="745">
        <v>25</v>
      </c>
      <c r="AA14" s="748">
        <v>26</v>
      </c>
      <c r="AB14" s="794" t="s">
        <v>488</v>
      </c>
    </row>
    <row r="15" spans="1:28" ht="22.8" customHeight="1" thickBot="1" x14ac:dyDescent="0.35">
      <c r="A15" s="779"/>
      <c r="B15" s="777" t="s">
        <v>487</v>
      </c>
      <c r="C15" s="778"/>
      <c r="D15" s="778"/>
      <c r="E15" s="778"/>
      <c r="F15" s="778"/>
      <c r="G15" s="778"/>
      <c r="H15" s="778"/>
      <c r="I15" s="778"/>
      <c r="J15" s="778"/>
      <c r="K15" s="778"/>
      <c r="L15" s="778"/>
      <c r="M15" s="778"/>
      <c r="N15" s="778"/>
      <c r="O15" s="778"/>
      <c r="P15" s="778"/>
      <c r="Q15" s="778"/>
      <c r="R15" s="778"/>
      <c r="S15" s="778"/>
      <c r="T15" s="778"/>
      <c r="U15" s="778"/>
      <c r="V15" s="778"/>
      <c r="W15" s="778"/>
      <c r="X15" s="778"/>
      <c r="Y15" s="778"/>
      <c r="Z15" s="778"/>
      <c r="AA15" s="778"/>
      <c r="AB15" s="795"/>
    </row>
    <row r="16" spans="1:28" ht="15" thickBot="1" x14ac:dyDescent="0.35">
      <c r="A16" s="780"/>
      <c r="B16" s="746"/>
      <c r="C16" s="741"/>
      <c r="D16" s="741"/>
      <c r="E16" s="740"/>
      <c r="F16" s="740"/>
      <c r="G16" s="740"/>
      <c r="H16" s="740"/>
      <c r="I16" s="741"/>
      <c r="J16" s="741"/>
      <c r="K16" s="740"/>
      <c r="L16" s="740"/>
      <c r="M16" s="741"/>
      <c r="N16" s="740"/>
      <c r="O16" s="740"/>
      <c r="P16" s="741"/>
      <c r="Q16" s="741"/>
      <c r="R16" s="742"/>
      <c r="S16" s="742"/>
      <c r="T16" s="742"/>
      <c r="U16" s="742"/>
      <c r="V16" s="742"/>
      <c r="W16" s="742"/>
      <c r="X16" s="743"/>
      <c r="Y16" s="741"/>
      <c r="Z16" s="741"/>
      <c r="AA16" s="747"/>
      <c r="AB16" s="58"/>
    </row>
    <row r="17" spans="1:28" ht="18" customHeight="1" thickBot="1" x14ac:dyDescent="0.35">
      <c r="A17" s="779" t="s">
        <v>482</v>
      </c>
      <c r="B17" s="774" t="s">
        <v>484</v>
      </c>
      <c r="C17" s="775"/>
      <c r="D17" s="775"/>
      <c r="E17" s="775"/>
      <c r="F17" s="775"/>
      <c r="G17" s="775"/>
      <c r="H17" s="775"/>
      <c r="I17" s="775"/>
      <c r="J17" s="775"/>
      <c r="K17" s="775"/>
      <c r="L17" s="775"/>
      <c r="M17" s="775"/>
      <c r="N17" s="775"/>
      <c r="O17" s="775"/>
      <c r="P17" s="775"/>
      <c r="Q17" s="775"/>
      <c r="R17" s="775"/>
      <c r="S17" s="775"/>
      <c r="T17" s="775"/>
      <c r="U17" s="775"/>
      <c r="V17" s="775"/>
      <c r="W17" s="775"/>
      <c r="X17" s="775"/>
      <c r="Y17" s="775"/>
      <c r="Z17" s="775"/>
      <c r="AA17" s="775"/>
      <c r="AB17" s="776"/>
    </row>
    <row r="18" spans="1:28" ht="10.8" customHeight="1" x14ac:dyDescent="0.3">
      <c r="A18" s="779"/>
      <c r="B18" s="749">
        <v>1</v>
      </c>
      <c r="C18" s="95">
        <v>2</v>
      </c>
      <c r="D18" s="95">
        <v>3</v>
      </c>
      <c r="E18" s="95">
        <v>4</v>
      </c>
      <c r="F18" s="95">
        <v>5</v>
      </c>
      <c r="G18" s="95">
        <v>6</v>
      </c>
      <c r="H18" s="95">
        <v>7</v>
      </c>
      <c r="I18" s="95">
        <v>8</v>
      </c>
      <c r="J18" s="95">
        <v>9</v>
      </c>
      <c r="K18" s="95">
        <v>10</v>
      </c>
      <c r="L18" s="95">
        <v>11</v>
      </c>
      <c r="M18" s="95">
        <v>12</v>
      </c>
      <c r="N18" s="95">
        <v>13</v>
      </c>
      <c r="O18" s="95">
        <v>14</v>
      </c>
      <c r="P18" s="95">
        <v>15</v>
      </c>
      <c r="Q18" s="95">
        <v>16</v>
      </c>
      <c r="R18" s="95">
        <v>17</v>
      </c>
      <c r="S18" s="95">
        <v>18</v>
      </c>
      <c r="T18" s="95">
        <v>19</v>
      </c>
      <c r="U18" s="95">
        <v>20</v>
      </c>
      <c r="V18" s="95">
        <v>21</v>
      </c>
      <c r="W18" s="95">
        <v>22</v>
      </c>
      <c r="X18" s="95">
        <v>23</v>
      </c>
      <c r="Y18" s="95">
        <v>24</v>
      </c>
      <c r="Z18" s="95">
        <v>25</v>
      </c>
      <c r="AA18" s="95">
        <v>26</v>
      </c>
      <c r="AB18" s="784" t="s">
        <v>488</v>
      </c>
    </row>
    <row r="19" spans="1:28" ht="22.8" customHeight="1" thickBot="1" x14ac:dyDescent="0.35">
      <c r="A19" s="779"/>
      <c r="B19" s="789" t="s">
        <v>486</v>
      </c>
      <c r="C19" s="790"/>
      <c r="D19" s="790"/>
      <c r="E19" s="790"/>
      <c r="F19" s="790"/>
      <c r="G19" s="790"/>
      <c r="H19" s="790"/>
      <c r="I19" s="790"/>
      <c r="J19" s="790"/>
      <c r="K19" s="790"/>
      <c r="L19" s="790"/>
      <c r="M19" s="790"/>
      <c r="N19" s="790"/>
      <c r="O19" s="790"/>
      <c r="P19" s="790"/>
      <c r="Q19" s="790"/>
      <c r="R19" s="790"/>
      <c r="S19" s="790"/>
      <c r="T19" s="790"/>
      <c r="U19" s="790"/>
      <c r="V19" s="790"/>
      <c r="W19" s="790"/>
      <c r="X19" s="790"/>
      <c r="Y19" s="790"/>
      <c r="Z19" s="790"/>
      <c r="AA19" s="791"/>
      <c r="AB19" s="785"/>
    </row>
    <row r="20" spans="1:28" ht="15" thickBot="1" x14ac:dyDescent="0.35">
      <c r="A20" s="779"/>
      <c r="B20" s="750"/>
      <c r="C20" s="751"/>
      <c r="D20" s="752"/>
      <c r="E20" s="751"/>
      <c r="F20" s="751"/>
      <c r="G20" s="751"/>
      <c r="H20" s="751"/>
      <c r="I20" s="753"/>
      <c r="J20" s="753"/>
      <c r="K20" s="751"/>
      <c r="L20" s="751"/>
      <c r="M20" s="754"/>
      <c r="N20" s="754"/>
      <c r="O20" s="754"/>
      <c r="P20" s="754"/>
      <c r="Q20" s="754"/>
      <c r="R20" s="754"/>
      <c r="S20" s="754"/>
      <c r="T20" s="754"/>
      <c r="U20" s="754"/>
      <c r="V20" s="754"/>
      <c r="W20" s="754"/>
      <c r="X20" s="752"/>
      <c r="Y20" s="755"/>
      <c r="Z20" s="756"/>
      <c r="AA20" s="747"/>
      <c r="AB20" s="58"/>
    </row>
    <row r="21" spans="1:28" x14ac:dyDescent="0.3">
      <c r="A21" s="779"/>
      <c r="B21" s="744">
        <v>1</v>
      </c>
      <c r="C21" s="745">
        <v>2</v>
      </c>
      <c r="D21" s="745">
        <v>3</v>
      </c>
      <c r="E21" s="745">
        <v>4</v>
      </c>
      <c r="F21" s="745">
        <v>5</v>
      </c>
      <c r="G21" s="745">
        <v>6</v>
      </c>
      <c r="H21" s="745">
        <v>7</v>
      </c>
      <c r="I21" s="745">
        <v>8</v>
      </c>
      <c r="J21" s="745">
        <v>9</v>
      </c>
      <c r="K21" s="745">
        <v>10</v>
      </c>
      <c r="L21" s="745">
        <v>11</v>
      </c>
      <c r="M21" s="745">
        <v>12</v>
      </c>
      <c r="N21" s="745">
        <v>13</v>
      </c>
      <c r="O21" s="745">
        <v>14</v>
      </c>
      <c r="P21" s="745">
        <v>15</v>
      </c>
      <c r="Q21" s="745">
        <v>16</v>
      </c>
      <c r="R21" s="745">
        <v>17</v>
      </c>
      <c r="S21" s="745">
        <v>18</v>
      </c>
      <c r="T21" s="745">
        <v>19</v>
      </c>
      <c r="U21" s="745">
        <v>20</v>
      </c>
      <c r="V21" s="745">
        <v>21</v>
      </c>
      <c r="W21" s="745">
        <v>22</v>
      </c>
      <c r="X21" s="745">
        <v>23</v>
      </c>
      <c r="Y21" s="745">
        <v>24</v>
      </c>
      <c r="Z21" s="745">
        <v>25</v>
      </c>
      <c r="AA21" s="748">
        <v>26</v>
      </c>
      <c r="AB21" s="794" t="s">
        <v>488</v>
      </c>
    </row>
    <row r="22" spans="1:28" ht="22.8" customHeight="1" thickBot="1" x14ac:dyDescent="0.35">
      <c r="A22" s="779"/>
      <c r="B22" s="777" t="s">
        <v>487</v>
      </c>
      <c r="C22" s="778"/>
      <c r="D22" s="778"/>
      <c r="E22" s="778"/>
      <c r="F22" s="778"/>
      <c r="G22" s="778"/>
      <c r="H22" s="778"/>
      <c r="I22" s="778"/>
      <c r="J22" s="778"/>
      <c r="K22" s="778"/>
      <c r="L22" s="778"/>
      <c r="M22" s="778"/>
      <c r="N22" s="778"/>
      <c r="O22" s="778"/>
      <c r="P22" s="778"/>
      <c r="Q22" s="778"/>
      <c r="R22" s="778"/>
      <c r="S22" s="778"/>
      <c r="T22" s="778"/>
      <c r="U22" s="778"/>
      <c r="V22" s="778"/>
      <c r="W22" s="778"/>
      <c r="X22" s="778"/>
      <c r="Y22" s="778"/>
      <c r="Z22" s="778"/>
      <c r="AA22" s="778"/>
      <c r="AB22" s="795"/>
    </row>
    <row r="23" spans="1:28" ht="15" thickBot="1" x14ac:dyDescent="0.35">
      <c r="A23" s="780"/>
      <c r="B23" s="746"/>
      <c r="C23" s="741"/>
      <c r="D23" s="741"/>
      <c r="E23" s="740"/>
      <c r="F23" s="740"/>
      <c r="G23" s="740"/>
      <c r="H23" s="740"/>
      <c r="I23" s="741"/>
      <c r="J23" s="741"/>
      <c r="K23" s="740"/>
      <c r="L23" s="740"/>
      <c r="M23" s="741"/>
      <c r="N23" s="740"/>
      <c r="O23" s="740"/>
      <c r="P23" s="741"/>
      <c r="Q23" s="741"/>
      <c r="R23" s="742"/>
      <c r="S23" s="742"/>
      <c r="T23" s="742"/>
      <c r="U23" s="742"/>
      <c r="V23" s="742"/>
      <c r="W23" s="742"/>
      <c r="X23" s="743"/>
      <c r="Y23" s="741"/>
      <c r="Z23" s="741"/>
      <c r="AA23" s="747"/>
      <c r="AB23" s="58"/>
    </row>
    <row r="24" spans="1:28" ht="18" customHeight="1" thickBot="1" x14ac:dyDescent="0.35">
      <c r="A24" s="779" t="s">
        <v>482</v>
      </c>
      <c r="B24" s="774" t="s">
        <v>485</v>
      </c>
      <c r="C24" s="775"/>
      <c r="D24" s="775"/>
      <c r="E24" s="775"/>
      <c r="F24" s="775"/>
      <c r="G24" s="775"/>
      <c r="H24" s="775"/>
      <c r="I24" s="775"/>
      <c r="J24" s="775"/>
      <c r="K24" s="775"/>
      <c r="L24" s="775"/>
      <c r="M24" s="775"/>
      <c r="N24" s="775"/>
      <c r="O24" s="775"/>
      <c r="P24" s="775"/>
      <c r="Q24" s="775"/>
      <c r="R24" s="775"/>
      <c r="S24" s="775"/>
      <c r="T24" s="775"/>
      <c r="U24" s="775"/>
      <c r="V24" s="775"/>
      <c r="W24" s="775"/>
      <c r="X24" s="775"/>
      <c r="Y24" s="775"/>
      <c r="Z24" s="775"/>
      <c r="AA24" s="775"/>
      <c r="AB24" s="776"/>
    </row>
    <row r="25" spans="1:28" ht="10.8" customHeight="1" x14ac:dyDescent="0.3">
      <c r="A25" s="779"/>
      <c r="B25" s="749">
        <v>1</v>
      </c>
      <c r="C25" s="95">
        <v>2</v>
      </c>
      <c r="D25" s="95">
        <v>3</v>
      </c>
      <c r="E25" s="95">
        <v>4</v>
      </c>
      <c r="F25" s="95">
        <v>5</v>
      </c>
      <c r="G25" s="95">
        <v>6</v>
      </c>
      <c r="H25" s="95">
        <v>7</v>
      </c>
      <c r="I25" s="95">
        <v>8</v>
      </c>
      <c r="J25" s="95">
        <v>9</v>
      </c>
      <c r="K25" s="95">
        <v>10</v>
      </c>
      <c r="L25" s="95">
        <v>11</v>
      </c>
      <c r="M25" s="95">
        <v>12</v>
      </c>
      <c r="N25" s="95">
        <v>13</v>
      </c>
      <c r="O25" s="95">
        <v>14</v>
      </c>
      <c r="P25" s="95">
        <v>15</v>
      </c>
      <c r="Q25" s="95">
        <v>16</v>
      </c>
      <c r="R25" s="95">
        <v>17</v>
      </c>
      <c r="S25" s="95">
        <v>18</v>
      </c>
      <c r="T25" s="95">
        <v>19</v>
      </c>
      <c r="U25" s="95">
        <v>20</v>
      </c>
      <c r="V25" s="95">
        <v>21</v>
      </c>
      <c r="W25" s="95">
        <v>22</v>
      </c>
      <c r="X25" s="95">
        <v>23</v>
      </c>
      <c r="Y25" s="95">
        <v>24</v>
      </c>
      <c r="Z25" s="95">
        <v>25</v>
      </c>
      <c r="AA25" s="95">
        <v>26</v>
      </c>
      <c r="AB25" s="784" t="s">
        <v>488</v>
      </c>
    </row>
    <row r="26" spans="1:28" ht="22.8" customHeight="1" thickBot="1" x14ac:dyDescent="0.35">
      <c r="A26" s="779"/>
      <c r="B26" s="789" t="s">
        <v>486</v>
      </c>
      <c r="C26" s="790"/>
      <c r="D26" s="790"/>
      <c r="E26" s="790"/>
      <c r="F26" s="790"/>
      <c r="G26" s="790"/>
      <c r="H26" s="790"/>
      <c r="I26" s="790"/>
      <c r="J26" s="790"/>
      <c r="K26" s="790"/>
      <c r="L26" s="790"/>
      <c r="M26" s="790"/>
      <c r="N26" s="790"/>
      <c r="O26" s="790"/>
      <c r="P26" s="790"/>
      <c r="Q26" s="790"/>
      <c r="R26" s="790"/>
      <c r="S26" s="790"/>
      <c r="T26" s="790"/>
      <c r="U26" s="790"/>
      <c r="V26" s="790"/>
      <c r="W26" s="790"/>
      <c r="X26" s="790"/>
      <c r="Y26" s="790"/>
      <c r="Z26" s="790"/>
      <c r="AA26" s="791"/>
      <c r="AB26" s="785"/>
    </row>
    <row r="27" spans="1:28" ht="15" thickBot="1" x14ac:dyDescent="0.35">
      <c r="A27" s="779"/>
      <c r="B27" s="750"/>
      <c r="C27" s="751"/>
      <c r="D27" s="752"/>
      <c r="E27" s="751"/>
      <c r="F27" s="751"/>
      <c r="G27" s="751"/>
      <c r="H27" s="751"/>
      <c r="I27" s="753"/>
      <c r="J27" s="753"/>
      <c r="K27" s="751"/>
      <c r="L27" s="751"/>
      <c r="M27" s="754"/>
      <c r="N27" s="754"/>
      <c r="O27" s="754"/>
      <c r="P27" s="754"/>
      <c r="Q27" s="754"/>
      <c r="R27" s="754"/>
      <c r="S27" s="754"/>
      <c r="T27" s="754"/>
      <c r="U27" s="754"/>
      <c r="V27" s="754"/>
      <c r="W27" s="754"/>
      <c r="X27" s="752"/>
      <c r="Y27" s="755"/>
      <c r="Z27" s="756"/>
      <c r="AA27" s="747"/>
      <c r="AB27" s="58"/>
    </row>
    <row r="28" spans="1:28" x14ac:dyDescent="0.3">
      <c r="A28" s="779"/>
      <c r="B28" s="744">
        <v>1</v>
      </c>
      <c r="C28" s="745">
        <v>2</v>
      </c>
      <c r="D28" s="745">
        <v>3</v>
      </c>
      <c r="E28" s="745">
        <v>4</v>
      </c>
      <c r="F28" s="745">
        <v>5</v>
      </c>
      <c r="G28" s="745">
        <v>6</v>
      </c>
      <c r="H28" s="745">
        <v>7</v>
      </c>
      <c r="I28" s="745">
        <v>8</v>
      </c>
      <c r="J28" s="745">
        <v>9</v>
      </c>
      <c r="K28" s="745">
        <v>10</v>
      </c>
      <c r="L28" s="745">
        <v>11</v>
      </c>
      <c r="M28" s="745">
        <v>12</v>
      </c>
      <c r="N28" s="745">
        <v>13</v>
      </c>
      <c r="O28" s="745">
        <v>14</v>
      </c>
      <c r="P28" s="745">
        <v>15</v>
      </c>
      <c r="Q28" s="745">
        <v>16</v>
      </c>
      <c r="R28" s="745">
        <v>17</v>
      </c>
      <c r="S28" s="745">
        <v>18</v>
      </c>
      <c r="T28" s="745">
        <v>19</v>
      </c>
      <c r="U28" s="745">
        <v>20</v>
      </c>
      <c r="V28" s="745">
        <v>21</v>
      </c>
      <c r="W28" s="745">
        <v>22</v>
      </c>
      <c r="X28" s="745">
        <v>23</v>
      </c>
      <c r="Y28" s="745">
        <v>24</v>
      </c>
      <c r="Z28" s="745">
        <v>25</v>
      </c>
      <c r="AA28" s="748">
        <v>26</v>
      </c>
      <c r="AB28" s="794" t="s">
        <v>488</v>
      </c>
    </row>
    <row r="29" spans="1:28" ht="22.8" customHeight="1" thickBot="1" x14ac:dyDescent="0.35">
      <c r="A29" s="779"/>
      <c r="B29" s="777" t="s">
        <v>487</v>
      </c>
      <c r="C29" s="778"/>
      <c r="D29" s="778"/>
      <c r="E29" s="778"/>
      <c r="F29" s="778"/>
      <c r="G29" s="778"/>
      <c r="H29" s="778"/>
      <c r="I29" s="778"/>
      <c r="J29" s="778"/>
      <c r="K29" s="778"/>
      <c r="L29" s="778"/>
      <c r="M29" s="778"/>
      <c r="N29" s="778"/>
      <c r="O29" s="778"/>
      <c r="P29" s="778"/>
      <c r="Q29" s="778"/>
      <c r="R29" s="778"/>
      <c r="S29" s="778"/>
      <c r="T29" s="778"/>
      <c r="U29" s="778"/>
      <c r="V29" s="778"/>
      <c r="W29" s="778"/>
      <c r="X29" s="778"/>
      <c r="Y29" s="778"/>
      <c r="Z29" s="778"/>
      <c r="AA29" s="778"/>
      <c r="AB29" s="795"/>
    </row>
    <row r="30" spans="1:28" ht="15" thickBot="1" x14ac:dyDescent="0.35">
      <c r="A30" s="780"/>
      <c r="B30" s="746"/>
      <c r="C30" s="741"/>
      <c r="D30" s="741"/>
      <c r="E30" s="740"/>
      <c r="F30" s="740"/>
      <c r="G30" s="740"/>
      <c r="H30" s="740"/>
      <c r="I30" s="741"/>
      <c r="J30" s="741"/>
      <c r="K30" s="740"/>
      <c r="L30" s="740"/>
      <c r="M30" s="741"/>
      <c r="N30" s="740"/>
      <c r="O30" s="740"/>
      <c r="P30" s="741"/>
      <c r="Q30" s="741"/>
      <c r="R30" s="742"/>
      <c r="S30" s="742"/>
      <c r="T30" s="742"/>
      <c r="U30" s="742"/>
      <c r="V30" s="742"/>
      <c r="W30" s="742"/>
      <c r="X30" s="743"/>
      <c r="Y30" s="741"/>
      <c r="Z30" s="741"/>
      <c r="AA30" s="747"/>
      <c r="AB30" s="58"/>
    </row>
    <row r="31" spans="1:28" ht="18" customHeight="1" thickBot="1" x14ac:dyDescent="0.35">
      <c r="A31" s="779" t="s">
        <v>482</v>
      </c>
      <c r="B31" s="774" t="s">
        <v>56</v>
      </c>
      <c r="C31" s="775"/>
      <c r="D31" s="775"/>
      <c r="E31" s="775"/>
      <c r="F31" s="775"/>
      <c r="G31" s="775"/>
      <c r="H31" s="775"/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Y31" s="775"/>
      <c r="Z31" s="775"/>
      <c r="AA31" s="775"/>
      <c r="AB31" s="776"/>
    </row>
    <row r="32" spans="1:28" ht="10.8" customHeight="1" x14ac:dyDescent="0.3">
      <c r="A32" s="779"/>
      <c r="B32" s="749">
        <v>1</v>
      </c>
      <c r="C32" s="95">
        <v>2</v>
      </c>
      <c r="D32" s="95">
        <v>3</v>
      </c>
      <c r="E32" s="95">
        <v>4</v>
      </c>
      <c r="F32" s="95">
        <v>5</v>
      </c>
      <c r="G32" s="95">
        <v>6</v>
      </c>
      <c r="H32" s="95">
        <v>7</v>
      </c>
      <c r="I32" s="95">
        <v>8</v>
      </c>
      <c r="J32" s="95">
        <v>9</v>
      </c>
      <c r="K32" s="95">
        <v>10</v>
      </c>
      <c r="L32" s="95">
        <v>11</v>
      </c>
      <c r="M32" s="95">
        <v>12</v>
      </c>
      <c r="N32" s="95">
        <v>13</v>
      </c>
      <c r="O32" s="95">
        <v>14</v>
      </c>
      <c r="P32" s="95">
        <v>15</v>
      </c>
      <c r="Q32" s="95">
        <v>16</v>
      </c>
      <c r="R32" s="95">
        <v>17</v>
      </c>
      <c r="S32" s="95">
        <v>18</v>
      </c>
      <c r="T32" s="95">
        <v>19</v>
      </c>
      <c r="U32" s="95">
        <v>20</v>
      </c>
      <c r="V32" s="95">
        <v>21</v>
      </c>
      <c r="W32" s="95">
        <v>22</v>
      </c>
      <c r="X32" s="95">
        <v>23</v>
      </c>
      <c r="Y32" s="95">
        <v>24</v>
      </c>
      <c r="Z32" s="95">
        <v>25</v>
      </c>
      <c r="AA32" s="95">
        <v>26</v>
      </c>
      <c r="AB32" s="784" t="s">
        <v>488</v>
      </c>
    </row>
    <row r="33" spans="1:28" ht="22.8" customHeight="1" thickBot="1" x14ac:dyDescent="0.35">
      <c r="A33" s="779"/>
      <c r="B33" s="789" t="s">
        <v>486</v>
      </c>
      <c r="C33" s="790"/>
      <c r="D33" s="790"/>
      <c r="E33" s="790"/>
      <c r="F33" s="790"/>
      <c r="G33" s="790"/>
      <c r="H33" s="790"/>
      <c r="I33" s="790"/>
      <c r="J33" s="790"/>
      <c r="K33" s="790"/>
      <c r="L33" s="790"/>
      <c r="M33" s="790"/>
      <c r="N33" s="790"/>
      <c r="O33" s="790"/>
      <c r="P33" s="790"/>
      <c r="Q33" s="790"/>
      <c r="R33" s="790"/>
      <c r="S33" s="790"/>
      <c r="T33" s="790"/>
      <c r="U33" s="790"/>
      <c r="V33" s="790"/>
      <c r="W33" s="790"/>
      <c r="X33" s="790"/>
      <c r="Y33" s="790"/>
      <c r="Z33" s="790"/>
      <c r="AA33" s="791"/>
      <c r="AB33" s="785"/>
    </row>
    <row r="34" spans="1:28" ht="10.8" customHeight="1" thickBot="1" x14ac:dyDescent="0.35">
      <c r="A34" s="779"/>
      <c r="B34" s="750"/>
      <c r="C34" s="751"/>
      <c r="D34" s="752"/>
      <c r="E34" s="751"/>
      <c r="F34" s="751"/>
      <c r="G34" s="751"/>
      <c r="H34" s="751"/>
      <c r="I34" s="753"/>
      <c r="J34" s="753"/>
      <c r="K34" s="751"/>
      <c r="L34" s="751"/>
      <c r="M34" s="754"/>
      <c r="N34" s="754"/>
      <c r="O34" s="754"/>
      <c r="P34" s="754"/>
      <c r="Q34" s="754"/>
      <c r="R34" s="754"/>
      <c r="S34" s="754"/>
      <c r="T34" s="754"/>
      <c r="U34" s="754"/>
      <c r="V34" s="754"/>
      <c r="W34" s="754"/>
      <c r="X34" s="752"/>
      <c r="Y34" s="755"/>
      <c r="Z34" s="756"/>
      <c r="AA34" s="747"/>
      <c r="AB34" s="58"/>
    </row>
    <row r="35" spans="1:28" x14ac:dyDescent="0.3">
      <c r="A35" s="779"/>
      <c r="B35" s="744">
        <v>1</v>
      </c>
      <c r="C35" s="745">
        <v>2</v>
      </c>
      <c r="D35" s="745">
        <v>3</v>
      </c>
      <c r="E35" s="745">
        <v>4</v>
      </c>
      <c r="F35" s="745">
        <v>5</v>
      </c>
      <c r="G35" s="745">
        <v>6</v>
      </c>
      <c r="H35" s="745">
        <v>7</v>
      </c>
      <c r="I35" s="745">
        <v>8</v>
      </c>
      <c r="J35" s="745">
        <v>9</v>
      </c>
      <c r="K35" s="745">
        <v>10</v>
      </c>
      <c r="L35" s="745">
        <v>11</v>
      </c>
      <c r="M35" s="745">
        <v>12</v>
      </c>
      <c r="N35" s="745">
        <v>13</v>
      </c>
      <c r="O35" s="745">
        <v>14</v>
      </c>
      <c r="P35" s="745">
        <v>15</v>
      </c>
      <c r="Q35" s="745">
        <v>16</v>
      </c>
      <c r="R35" s="745">
        <v>17</v>
      </c>
      <c r="S35" s="745">
        <v>18</v>
      </c>
      <c r="T35" s="745">
        <v>19</v>
      </c>
      <c r="U35" s="745">
        <v>20</v>
      </c>
      <c r="V35" s="745">
        <v>21</v>
      </c>
      <c r="W35" s="745">
        <v>22</v>
      </c>
      <c r="X35" s="745">
        <v>23</v>
      </c>
      <c r="Y35" s="745">
        <v>24</v>
      </c>
      <c r="Z35" s="745">
        <v>25</v>
      </c>
      <c r="AA35" s="748">
        <v>26</v>
      </c>
      <c r="AB35" s="794" t="s">
        <v>488</v>
      </c>
    </row>
    <row r="36" spans="1:28" ht="22.8" customHeight="1" thickBot="1" x14ac:dyDescent="0.35">
      <c r="A36" s="779"/>
      <c r="B36" s="777" t="s">
        <v>487</v>
      </c>
      <c r="C36" s="778"/>
      <c r="D36" s="778"/>
      <c r="E36" s="778"/>
      <c r="F36" s="778"/>
      <c r="G36" s="778"/>
      <c r="H36" s="778"/>
      <c r="I36" s="778"/>
      <c r="J36" s="778"/>
      <c r="K36" s="778"/>
      <c r="L36" s="778"/>
      <c r="M36" s="778"/>
      <c r="N36" s="778"/>
      <c r="O36" s="778"/>
      <c r="P36" s="778"/>
      <c r="Q36" s="778"/>
      <c r="R36" s="778"/>
      <c r="S36" s="778"/>
      <c r="T36" s="778"/>
      <c r="U36" s="778"/>
      <c r="V36" s="778"/>
      <c r="W36" s="778"/>
      <c r="X36" s="778"/>
      <c r="Y36" s="778"/>
      <c r="Z36" s="778"/>
      <c r="AA36" s="778"/>
      <c r="AB36" s="795"/>
    </row>
    <row r="37" spans="1:28" ht="15" thickBot="1" x14ac:dyDescent="0.35">
      <c r="A37" s="780"/>
      <c r="B37" s="746"/>
      <c r="C37" s="741"/>
      <c r="D37" s="741"/>
      <c r="E37" s="740"/>
      <c r="F37" s="740"/>
      <c r="G37" s="740"/>
      <c r="H37" s="740"/>
      <c r="I37" s="741"/>
      <c r="J37" s="741"/>
      <c r="K37" s="740"/>
      <c r="L37" s="740"/>
      <c r="M37" s="741"/>
      <c r="N37" s="740"/>
      <c r="O37" s="740"/>
      <c r="P37" s="741"/>
      <c r="Q37" s="741"/>
      <c r="R37" s="742"/>
      <c r="S37" s="742"/>
      <c r="T37" s="742"/>
      <c r="U37" s="742"/>
      <c r="V37" s="742"/>
      <c r="W37" s="742"/>
      <c r="X37" s="743"/>
      <c r="Y37" s="741"/>
      <c r="Z37" s="741"/>
      <c r="AA37" s="747"/>
      <c r="AB37" s="58"/>
    </row>
    <row r="38" spans="1:28" ht="18" customHeight="1" thickBot="1" x14ac:dyDescent="0.35">
      <c r="A38" s="779" t="s">
        <v>482</v>
      </c>
      <c r="B38" s="774" t="s">
        <v>57</v>
      </c>
      <c r="C38" s="775"/>
      <c r="D38" s="775"/>
      <c r="E38" s="775"/>
      <c r="F38" s="775"/>
      <c r="G38" s="775"/>
      <c r="H38" s="775"/>
      <c r="I38" s="775"/>
      <c r="J38" s="775"/>
      <c r="K38" s="775"/>
      <c r="L38" s="775"/>
      <c r="M38" s="775"/>
      <c r="N38" s="775"/>
      <c r="O38" s="775"/>
      <c r="P38" s="775"/>
      <c r="Q38" s="775"/>
      <c r="R38" s="775"/>
      <c r="S38" s="775"/>
      <c r="T38" s="775"/>
      <c r="U38" s="775"/>
      <c r="V38" s="775"/>
      <c r="W38" s="775"/>
      <c r="X38" s="775"/>
      <c r="Y38" s="775"/>
      <c r="Z38" s="775"/>
      <c r="AA38" s="775"/>
      <c r="AB38" s="776"/>
    </row>
    <row r="39" spans="1:28" ht="10.8" customHeight="1" x14ac:dyDescent="0.3">
      <c r="A39" s="779"/>
      <c r="B39" s="749">
        <v>1</v>
      </c>
      <c r="C39" s="95">
        <v>2</v>
      </c>
      <c r="D39" s="95">
        <v>3</v>
      </c>
      <c r="E39" s="95">
        <v>4</v>
      </c>
      <c r="F39" s="95">
        <v>5</v>
      </c>
      <c r="G39" s="95">
        <v>6</v>
      </c>
      <c r="H39" s="95">
        <v>7</v>
      </c>
      <c r="I39" s="95">
        <v>8</v>
      </c>
      <c r="J39" s="95">
        <v>9</v>
      </c>
      <c r="K39" s="95">
        <v>10</v>
      </c>
      <c r="L39" s="95">
        <v>11</v>
      </c>
      <c r="M39" s="95">
        <v>12</v>
      </c>
      <c r="N39" s="95">
        <v>13</v>
      </c>
      <c r="O39" s="95">
        <v>14</v>
      </c>
      <c r="P39" s="95">
        <v>15</v>
      </c>
      <c r="Q39" s="95">
        <v>16</v>
      </c>
      <c r="R39" s="95">
        <v>17</v>
      </c>
      <c r="S39" s="95">
        <v>18</v>
      </c>
      <c r="T39" s="95">
        <v>19</v>
      </c>
      <c r="U39" s="95">
        <v>20</v>
      </c>
      <c r="V39" s="95">
        <v>21</v>
      </c>
      <c r="W39" s="95">
        <v>22</v>
      </c>
      <c r="X39" s="95">
        <v>23</v>
      </c>
      <c r="Y39" s="95">
        <v>24</v>
      </c>
      <c r="Z39" s="95">
        <v>25</v>
      </c>
      <c r="AA39" s="95">
        <v>26</v>
      </c>
      <c r="AB39" s="784" t="s">
        <v>488</v>
      </c>
    </row>
    <row r="40" spans="1:28" ht="22.8" customHeight="1" thickBot="1" x14ac:dyDescent="0.35">
      <c r="A40" s="779"/>
      <c r="B40" s="789" t="s">
        <v>486</v>
      </c>
      <c r="C40" s="790"/>
      <c r="D40" s="790"/>
      <c r="E40" s="790"/>
      <c r="F40" s="790"/>
      <c r="G40" s="790"/>
      <c r="H40" s="790"/>
      <c r="I40" s="790"/>
      <c r="J40" s="790"/>
      <c r="K40" s="790"/>
      <c r="L40" s="790"/>
      <c r="M40" s="790"/>
      <c r="N40" s="790"/>
      <c r="O40" s="790"/>
      <c r="P40" s="790"/>
      <c r="Q40" s="790"/>
      <c r="R40" s="790"/>
      <c r="S40" s="790"/>
      <c r="T40" s="790"/>
      <c r="U40" s="790"/>
      <c r="V40" s="790"/>
      <c r="W40" s="790"/>
      <c r="X40" s="790"/>
      <c r="Y40" s="790"/>
      <c r="Z40" s="790"/>
      <c r="AA40" s="791"/>
      <c r="AB40" s="785"/>
    </row>
    <row r="41" spans="1:28" ht="15" thickBot="1" x14ac:dyDescent="0.35">
      <c r="A41" s="779"/>
      <c r="B41" s="750"/>
      <c r="C41" s="751"/>
      <c r="D41" s="752"/>
      <c r="E41" s="751"/>
      <c r="F41" s="751"/>
      <c r="G41" s="751"/>
      <c r="H41" s="751"/>
      <c r="I41" s="753"/>
      <c r="J41" s="753"/>
      <c r="K41" s="751"/>
      <c r="L41" s="751"/>
      <c r="M41" s="754"/>
      <c r="N41" s="754"/>
      <c r="O41" s="754"/>
      <c r="P41" s="754"/>
      <c r="Q41" s="754"/>
      <c r="R41" s="754"/>
      <c r="S41" s="754"/>
      <c r="T41" s="754"/>
      <c r="U41" s="754"/>
      <c r="V41" s="754"/>
      <c r="W41" s="754"/>
      <c r="X41" s="752"/>
      <c r="Y41" s="755"/>
      <c r="Z41" s="756"/>
      <c r="AA41" s="747"/>
      <c r="AB41" s="58"/>
    </row>
    <row r="42" spans="1:28" ht="13.2" customHeight="1" x14ac:dyDescent="0.3">
      <c r="A42" s="779"/>
      <c r="B42" s="744">
        <v>1</v>
      </c>
      <c r="C42" s="745">
        <v>2</v>
      </c>
      <c r="D42" s="745">
        <v>3</v>
      </c>
      <c r="E42" s="745">
        <v>4</v>
      </c>
      <c r="F42" s="745">
        <v>5</v>
      </c>
      <c r="G42" s="745">
        <v>6</v>
      </c>
      <c r="H42" s="745">
        <v>7</v>
      </c>
      <c r="I42" s="745">
        <v>8</v>
      </c>
      <c r="J42" s="745">
        <v>9</v>
      </c>
      <c r="K42" s="745">
        <v>10</v>
      </c>
      <c r="L42" s="745">
        <v>11</v>
      </c>
      <c r="M42" s="745">
        <v>12</v>
      </c>
      <c r="N42" s="745">
        <v>13</v>
      </c>
      <c r="O42" s="745">
        <v>14</v>
      </c>
      <c r="P42" s="745">
        <v>15</v>
      </c>
      <c r="Q42" s="745">
        <v>16</v>
      </c>
      <c r="R42" s="745">
        <v>17</v>
      </c>
      <c r="S42" s="745">
        <v>18</v>
      </c>
      <c r="T42" s="745">
        <v>19</v>
      </c>
      <c r="U42" s="745">
        <v>20</v>
      </c>
      <c r="V42" s="745">
        <v>21</v>
      </c>
      <c r="W42" s="745">
        <v>22</v>
      </c>
      <c r="X42" s="745">
        <v>23</v>
      </c>
      <c r="Y42" s="745">
        <v>24</v>
      </c>
      <c r="Z42" s="745">
        <v>25</v>
      </c>
      <c r="AA42" s="748">
        <v>26</v>
      </c>
      <c r="AB42" s="794" t="s">
        <v>488</v>
      </c>
    </row>
    <row r="43" spans="1:28" ht="22.8" customHeight="1" thickBot="1" x14ac:dyDescent="0.35">
      <c r="A43" s="779"/>
      <c r="B43" s="777" t="s">
        <v>487</v>
      </c>
      <c r="C43" s="778"/>
      <c r="D43" s="778"/>
      <c r="E43" s="778"/>
      <c r="F43" s="778"/>
      <c r="G43" s="778"/>
      <c r="H43" s="778"/>
      <c r="I43" s="778"/>
      <c r="J43" s="778"/>
      <c r="K43" s="778"/>
      <c r="L43" s="778"/>
      <c r="M43" s="778"/>
      <c r="N43" s="778"/>
      <c r="O43" s="778"/>
      <c r="P43" s="778"/>
      <c r="Q43" s="778"/>
      <c r="R43" s="778"/>
      <c r="S43" s="778"/>
      <c r="T43" s="778"/>
      <c r="U43" s="778"/>
      <c r="V43" s="778"/>
      <c r="W43" s="778"/>
      <c r="X43" s="778"/>
      <c r="Y43" s="778"/>
      <c r="Z43" s="778"/>
      <c r="AA43" s="778"/>
      <c r="AB43" s="795"/>
    </row>
    <row r="44" spans="1:28" ht="15" thickBot="1" x14ac:dyDescent="0.35">
      <c r="A44" s="780"/>
      <c r="B44" s="746"/>
      <c r="C44" s="741"/>
      <c r="D44" s="741"/>
      <c r="E44" s="740"/>
      <c r="F44" s="740"/>
      <c r="G44" s="740"/>
      <c r="H44" s="740"/>
      <c r="I44" s="741"/>
      <c r="J44" s="741"/>
      <c r="K44" s="740"/>
      <c r="L44" s="740"/>
      <c r="M44" s="741"/>
      <c r="N44" s="740"/>
      <c r="O44" s="740"/>
      <c r="P44" s="741"/>
      <c r="Q44" s="741"/>
      <c r="R44" s="742"/>
      <c r="S44" s="742"/>
      <c r="T44" s="742"/>
      <c r="U44" s="742"/>
      <c r="V44" s="742"/>
      <c r="W44" s="742"/>
      <c r="X44" s="743"/>
      <c r="Y44" s="741"/>
      <c r="Z44" s="741"/>
      <c r="AA44" s="747"/>
      <c r="AB44" s="58"/>
    </row>
  </sheetData>
  <mergeCells count="40">
    <mergeCell ref="AB42:AB43"/>
    <mergeCell ref="B43:AA43"/>
    <mergeCell ref="H2:V2"/>
    <mergeCell ref="W2:AB2"/>
    <mergeCell ref="AB32:AB33"/>
    <mergeCell ref="B33:AA33"/>
    <mergeCell ref="AB35:AB36"/>
    <mergeCell ref="B36:AA36"/>
    <mergeCell ref="B38:AB38"/>
    <mergeCell ref="AB39:AB40"/>
    <mergeCell ref="B40:AA40"/>
    <mergeCell ref="AB21:AB22"/>
    <mergeCell ref="B22:AA22"/>
    <mergeCell ref="B24:AB24"/>
    <mergeCell ref="AB25:AB26"/>
    <mergeCell ref="B26:AA26"/>
    <mergeCell ref="A38:A44"/>
    <mergeCell ref="A1:AB1"/>
    <mergeCell ref="AB4:AB5"/>
    <mergeCell ref="B3:AB3"/>
    <mergeCell ref="B5:AA5"/>
    <mergeCell ref="A2:G2"/>
    <mergeCell ref="A3:A9"/>
    <mergeCell ref="AB28:AB29"/>
    <mergeCell ref="B29:AA29"/>
    <mergeCell ref="B8:AA8"/>
    <mergeCell ref="AB7:AB8"/>
    <mergeCell ref="B10:AB10"/>
    <mergeCell ref="AB11:AB12"/>
    <mergeCell ref="B12:AA12"/>
    <mergeCell ref="AB14:AB15"/>
    <mergeCell ref="B17:AB17"/>
    <mergeCell ref="B31:AB31"/>
    <mergeCell ref="B15:AA15"/>
    <mergeCell ref="A10:A16"/>
    <mergeCell ref="A17:A23"/>
    <mergeCell ref="A24:A30"/>
    <mergeCell ref="A31:A37"/>
    <mergeCell ref="AB18:AB19"/>
    <mergeCell ref="B19:AA19"/>
  </mergeCells>
  <pageMargins left="0.82677165354330717" right="0" top="0.15748031496062992" bottom="0.35433070866141736" header="0.31496062992125984" footer="0.31496062992125984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L33"/>
  <sheetViews>
    <sheetView topLeftCell="A14" zoomScaleNormal="100" workbookViewId="0">
      <selection activeCell="D33" sqref="D33:AL33"/>
    </sheetView>
  </sheetViews>
  <sheetFormatPr baseColWidth="10" defaultRowHeight="14.4" x14ac:dyDescent="0.3"/>
  <cols>
    <col min="1" max="1" width="3.33203125" customWidth="1"/>
    <col min="2" max="2" width="29.109375" customWidth="1"/>
    <col min="3" max="3" width="4.109375" customWidth="1"/>
    <col min="4" max="24" width="3.109375" style="51" customWidth="1"/>
    <col min="25" max="32" width="3.109375" customWidth="1"/>
    <col min="33" max="38" width="2.6640625" customWidth="1"/>
  </cols>
  <sheetData>
    <row r="1" spans="1:38" ht="21.6" thickBot="1" x14ac:dyDescent="0.45">
      <c r="A1" s="809" t="s">
        <v>128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09"/>
      <c r="O1" s="809"/>
      <c r="P1" s="809"/>
      <c r="Q1" s="809"/>
      <c r="R1" s="809"/>
      <c r="S1" s="809"/>
      <c r="T1" s="809"/>
      <c r="U1" s="809"/>
      <c r="V1" s="809"/>
      <c r="W1" s="809"/>
      <c r="X1" s="809"/>
      <c r="Y1" s="809"/>
      <c r="Z1" s="809"/>
      <c r="AA1" s="809"/>
      <c r="AB1" s="809"/>
      <c r="AC1" s="809"/>
      <c r="AD1" s="809"/>
      <c r="AE1" s="809"/>
      <c r="AF1" s="809"/>
      <c r="AG1" s="809"/>
      <c r="AH1" s="809"/>
      <c r="AI1" s="809"/>
      <c r="AJ1" s="809"/>
      <c r="AK1" s="809"/>
      <c r="AL1" s="809"/>
    </row>
    <row r="2" spans="1:38" ht="15" thickBot="1" x14ac:dyDescent="0.35">
      <c r="A2" s="802" t="s">
        <v>4</v>
      </c>
      <c r="B2" s="805" t="s">
        <v>5</v>
      </c>
      <c r="C2" s="807" t="s">
        <v>6</v>
      </c>
      <c r="D2" s="48">
        <v>1</v>
      </c>
      <c r="E2" s="49">
        <v>2</v>
      </c>
      <c r="F2" s="49">
        <v>3</v>
      </c>
      <c r="G2" s="48">
        <v>4</v>
      </c>
      <c r="H2" s="49">
        <v>5</v>
      </c>
      <c r="I2" s="49">
        <v>6</v>
      </c>
      <c r="J2" s="48">
        <v>7</v>
      </c>
      <c r="K2" s="49">
        <v>8</v>
      </c>
      <c r="L2" s="49">
        <v>9</v>
      </c>
      <c r="M2" s="48">
        <v>10</v>
      </c>
      <c r="N2" s="49">
        <v>11</v>
      </c>
      <c r="O2" s="49">
        <v>12</v>
      </c>
      <c r="P2" s="48">
        <v>13</v>
      </c>
      <c r="Q2" s="49">
        <v>14</v>
      </c>
      <c r="R2" s="49">
        <v>15</v>
      </c>
      <c r="S2" s="48">
        <v>16</v>
      </c>
      <c r="T2" s="49">
        <v>17</v>
      </c>
      <c r="U2" s="49">
        <v>18</v>
      </c>
      <c r="V2" s="48">
        <v>19</v>
      </c>
      <c r="W2" s="49">
        <v>20</v>
      </c>
      <c r="X2" s="49">
        <v>21</v>
      </c>
      <c r="Y2" s="65">
        <v>22</v>
      </c>
      <c r="Z2" s="65">
        <v>23</v>
      </c>
      <c r="AA2" s="65">
        <v>24</v>
      </c>
      <c r="AB2" s="65">
        <v>25</v>
      </c>
      <c r="AC2" s="65">
        <v>26</v>
      </c>
      <c r="AD2" s="65">
        <v>27</v>
      </c>
      <c r="AE2" s="65">
        <v>28</v>
      </c>
      <c r="AF2" s="66">
        <v>29</v>
      </c>
      <c r="AG2" s="65">
        <v>30</v>
      </c>
      <c r="AH2" s="65">
        <v>31</v>
      </c>
      <c r="AI2" s="65">
        <v>32</v>
      </c>
      <c r="AJ2" s="65">
        <v>33</v>
      </c>
      <c r="AK2" s="65">
        <v>34</v>
      </c>
      <c r="AL2" s="65">
        <v>35</v>
      </c>
    </row>
    <row r="3" spans="1:38" ht="101.4" customHeight="1" thickBot="1" x14ac:dyDescent="0.35">
      <c r="A3" s="803"/>
      <c r="B3" s="806"/>
      <c r="C3" s="808"/>
      <c r="D3" s="132"/>
      <c r="E3" s="132"/>
      <c r="F3" s="132"/>
      <c r="G3" s="6"/>
      <c r="H3" s="6"/>
      <c r="I3" s="53"/>
      <c r="J3" s="6"/>
      <c r="K3" s="6"/>
      <c r="L3" s="6"/>
      <c r="M3" s="6"/>
      <c r="N3" s="6"/>
      <c r="O3" s="6"/>
      <c r="P3" s="6"/>
      <c r="Q3" s="6"/>
      <c r="R3" s="52"/>
      <c r="S3" s="6"/>
      <c r="T3" s="53"/>
      <c r="U3" s="6"/>
      <c r="V3" s="6"/>
      <c r="W3" s="6"/>
      <c r="X3" s="54"/>
      <c r="Y3" s="59"/>
      <c r="Z3" s="60"/>
      <c r="AA3" s="59"/>
      <c r="AB3" s="59"/>
      <c r="AC3" s="59"/>
      <c r="AD3" s="59"/>
      <c r="AE3" s="59"/>
      <c r="AF3" s="62"/>
      <c r="AG3" s="58"/>
      <c r="AH3" s="58"/>
      <c r="AI3" s="58"/>
      <c r="AJ3" s="58"/>
      <c r="AK3" s="58"/>
      <c r="AL3" s="58"/>
    </row>
    <row r="4" spans="1:38" ht="15" thickBot="1" x14ac:dyDescent="0.35">
      <c r="A4" s="804"/>
      <c r="B4" s="7" t="s">
        <v>3</v>
      </c>
      <c r="C4" s="7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8"/>
      <c r="Z4" s="58"/>
      <c r="AA4" s="58"/>
      <c r="AB4" s="58"/>
      <c r="AC4" s="58"/>
      <c r="AD4" s="58"/>
      <c r="AE4" s="58"/>
      <c r="AF4" s="61"/>
      <c r="AG4" s="58"/>
      <c r="AH4" s="58"/>
      <c r="AI4" s="58"/>
      <c r="AJ4" s="58"/>
      <c r="AK4" s="58"/>
      <c r="AL4" s="58"/>
    </row>
    <row r="5" spans="1:38" ht="19.2" customHeight="1" thickBot="1" x14ac:dyDescent="0.35">
      <c r="A5" s="8">
        <v>1</v>
      </c>
      <c r="B5" s="109" t="s">
        <v>436</v>
      </c>
      <c r="C5" s="9">
        <f t="shared" ref="C5:C33" si="0">((D5+E5+F5+G5+H5+I5+J5+K5+L5+M5+N5+O5+P5+Q5+R5+S5+T5+U5+V5+W5+X5)/21)</f>
        <v>0</v>
      </c>
      <c r="D5" s="39"/>
      <c r="E5" s="40"/>
      <c r="F5" s="40"/>
      <c r="G5" s="41"/>
      <c r="H5" s="41"/>
      <c r="I5" s="41"/>
      <c r="J5" s="41"/>
      <c r="K5" s="41"/>
      <c r="L5" s="41"/>
      <c r="M5" s="42"/>
      <c r="N5" s="41"/>
      <c r="O5" s="41"/>
      <c r="P5" s="42"/>
      <c r="Q5" s="41"/>
      <c r="R5" s="41"/>
      <c r="S5" s="41"/>
      <c r="T5" s="41"/>
      <c r="U5" s="41"/>
      <c r="V5" s="42"/>
      <c r="W5" s="42"/>
      <c r="X5" s="55"/>
      <c r="Y5" s="22"/>
      <c r="Z5" s="22"/>
      <c r="AA5" s="22"/>
      <c r="AB5" s="22"/>
      <c r="AC5" s="22"/>
      <c r="AD5" s="22"/>
      <c r="AE5" s="22"/>
      <c r="AF5" s="63"/>
      <c r="AG5" s="22"/>
      <c r="AH5" s="22"/>
      <c r="AI5" s="22"/>
      <c r="AJ5" s="22"/>
      <c r="AK5" s="22"/>
      <c r="AL5" s="22"/>
    </row>
    <row r="6" spans="1:38" ht="19.2" customHeight="1" thickBot="1" x14ac:dyDescent="0.35">
      <c r="A6" s="10">
        <v>2</v>
      </c>
      <c r="B6" s="109" t="s">
        <v>65</v>
      </c>
      <c r="C6" s="9">
        <f t="shared" si="0"/>
        <v>0</v>
      </c>
      <c r="D6" s="43"/>
      <c r="E6" s="42"/>
      <c r="F6" s="42"/>
      <c r="G6" s="42"/>
      <c r="H6" s="42"/>
      <c r="I6" s="42"/>
      <c r="J6" s="42"/>
      <c r="K6" s="42"/>
      <c r="L6" s="44"/>
      <c r="M6" s="44"/>
      <c r="N6" s="44"/>
      <c r="O6" s="44"/>
      <c r="P6" s="42"/>
      <c r="Q6" s="42"/>
      <c r="R6" s="42"/>
      <c r="S6" s="42"/>
      <c r="T6" s="42"/>
      <c r="U6" s="42"/>
      <c r="V6" s="44"/>
      <c r="W6" s="44"/>
      <c r="X6" s="56"/>
      <c r="Y6" s="23"/>
      <c r="Z6" s="23"/>
      <c r="AA6" s="23"/>
      <c r="AB6" s="23"/>
      <c r="AC6" s="23"/>
      <c r="AD6" s="23"/>
      <c r="AE6" s="23"/>
      <c r="AF6" s="64"/>
      <c r="AG6" s="23"/>
      <c r="AH6" s="23"/>
      <c r="AI6" s="23"/>
      <c r="AJ6" s="23"/>
      <c r="AK6" s="23"/>
      <c r="AL6" s="23"/>
    </row>
    <row r="7" spans="1:38" ht="19.2" customHeight="1" thickBot="1" x14ac:dyDescent="0.35">
      <c r="A7" s="10">
        <v>3</v>
      </c>
      <c r="B7" s="110" t="s">
        <v>66</v>
      </c>
      <c r="C7" s="9">
        <f t="shared" si="0"/>
        <v>0</v>
      </c>
      <c r="D7" s="45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56"/>
      <c r="Y7" s="23"/>
      <c r="Z7" s="23"/>
      <c r="AA7" s="23"/>
      <c r="AB7" s="23"/>
      <c r="AC7" s="23"/>
      <c r="AD7" s="23"/>
      <c r="AE7" s="23"/>
      <c r="AF7" s="64"/>
      <c r="AG7" s="23"/>
      <c r="AH7" s="23"/>
      <c r="AI7" s="23"/>
      <c r="AJ7" s="23"/>
      <c r="AK7" s="23"/>
      <c r="AL7" s="23"/>
    </row>
    <row r="8" spans="1:38" ht="19.2" customHeight="1" thickBot="1" x14ac:dyDescent="0.35">
      <c r="A8" s="8">
        <v>4</v>
      </c>
      <c r="B8" s="109" t="s">
        <v>67</v>
      </c>
      <c r="C8" s="9">
        <f t="shared" si="0"/>
        <v>0</v>
      </c>
      <c r="D8" s="45"/>
      <c r="E8" s="44"/>
      <c r="F8" s="44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57"/>
      <c r="Y8" s="23"/>
      <c r="Z8" s="23"/>
      <c r="AA8" s="23"/>
      <c r="AB8" s="23"/>
      <c r="AC8" s="23"/>
      <c r="AD8" s="23"/>
      <c r="AE8" s="23"/>
      <c r="AF8" s="64"/>
      <c r="AG8" s="23"/>
      <c r="AH8" s="23"/>
      <c r="AI8" s="23"/>
      <c r="AJ8" s="23"/>
      <c r="AK8" s="23"/>
      <c r="AL8" s="23"/>
    </row>
    <row r="9" spans="1:38" ht="19.2" customHeight="1" thickBot="1" x14ac:dyDescent="0.35">
      <c r="A9" s="10">
        <v>5</v>
      </c>
      <c r="B9" s="110" t="s">
        <v>68</v>
      </c>
      <c r="C9" s="9">
        <f t="shared" si="0"/>
        <v>0</v>
      </c>
      <c r="D9" s="43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2"/>
      <c r="Q9" s="42"/>
      <c r="R9" s="42"/>
      <c r="S9" s="42"/>
      <c r="T9" s="42"/>
      <c r="U9" s="42"/>
      <c r="V9" s="44"/>
      <c r="W9" s="44"/>
      <c r="X9" s="55"/>
      <c r="Y9" s="23"/>
      <c r="Z9" s="23"/>
      <c r="AA9" s="23"/>
      <c r="AB9" s="23"/>
      <c r="AC9" s="23"/>
      <c r="AD9" s="23"/>
      <c r="AE9" s="23"/>
      <c r="AF9" s="64"/>
      <c r="AG9" s="23"/>
      <c r="AH9" s="23"/>
      <c r="AI9" s="23"/>
      <c r="AJ9" s="23"/>
      <c r="AK9" s="23"/>
      <c r="AL9" s="23"/>
    </row>
    <row r="10" spans="1:38" ht="19.2" customHeight="1" thickBot="1" x14ac:dyDescent="0.35">
      <c r="A10" s="10">
        <v>6</v>
      </c>
      <c r="B10" s="109" t="s">
        <v>69</v>
      </c>
      <c r="C10" s="9">
        <f t="shared" si="0"/>
        <v>0</v>
      </c>
      <c r="D10" s="46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56"/>
      <c r="Y10" s="23"/>
      <c r="Z10" s="23"/>
      <c r="AA10" s="23"/>
      <c r="AB10" s="23"/>
      <c r="AC10" s="23"/>
      <c r="AD10" s="23"/>
      <c r="AE10" s="23"/>
      <c r="AF10" s="64"/>
      <c r="AG10" s="23"/>
      <c r="AH10" s="23"/>
      <c r="AI10" s="23"/>
      <c r="AJ10" s="23"/>
      <c r="AK10" s="23"/>
      <c r="AL10" s="23"/>
    </row>
    <row r="11" spans="1:38" ht="19.2" customHeight="1" thickBot="1" x14ac:dyDescent="0.35">
      <c r="A11" s="8">
        <v>7</v>
      </c>
      <c r="B11" s="109" t="s">
        <v>70</v>
      </c>
      <c r="C11" s="9">
        <f t="shared" si="0"/>
        <v>0</v>
      </c>
      <c r="D11" s="43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55"/>
      <c r="Y11" s="23"/>
      <c r="Z11" s="23"/>
      <c r="AA11" s="23"/>
      <c r="AB11" s="23"/>
      <c r="AC11" s="23"/>
      <c r="AD11" s="23"/>
      <c r="AE11" s="23"/>
      <c r="AF11" s="64"/>
      <c r="AG11" s="23"/>
      <c r="AH11" s="23"/>
      <c r="AI11" s="23"/>
      <c r="AJ11" s="23"/>
      <c r="AK11" s="23"/>
      <c r="AL11" s="23"/>
    </row>
    <row r="12" spans="1:38" ht="19.2" customHeight="1" thickBot="1" x14ac:dyDescent="0.35">
      <c r="A12" s="10">
        <v>8</v>
      </c>
      <c r="B12" s="109" t="s">
        <v>71</v>
      </c>
      <c r="C12" s="9">
        <f t="shared" si="0"/>
        <v>0</v>
      </c>
      <c r="D12" s="46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2"/>
      <c r="X12" s="55"/>
      <c r="Y12" s="23"/>
      <c r="Z12" s="23"/>
      <c r="AA12" s="23"/>
      <c r="AB12" s="23"/>
      <c r="AC12" s="23"/>
      <c r="AD12" s="23"/>
      <c r="AE12" s="23"/>
      <c r="AF12" s="64"/>
      <c r="AG12" s="23"/>
      <c r="AH12" s="23"/>
      <c r="AI12" s="23"/>
      <c r="AJ12" s="23"/>
      <c r="AK12" s="23"/>
      <c r="AL12" s="23"/>
    </row>
    <row r="13" spans="1:38" ht="19.2" customHeight="1" thickBot="1" x14ac:dyDescent="0.35">
      <c r="A13" s="10">
        <v>9</v>
      </c>
      <c r="B13" s="109" t="s">
        <v>72</v>
      </c>
      <c r="C13" s="9">
        <f t="shared" si="0"/>
        <v>0</v>
      </c>
      <c r="D13" s="45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2"/>
      <c r="Q13" s="42"/>
      <c r="R13" s="42"/>
      <c r="S13" s="42"/>
      <c r="T13" s="42"/>
      <c r="U13" s="42"/>
      <c r="V13" s="44"/>
      <c r="W13" s="44"/>
      <c r="X13" s="56"/>
      <c r="Y13" s="23"/>
      <c r="Z13" s="23"/>
      <c r="AA13" s="23"/>
      <c r="AB13" s="23"/>
      <c r="AC13" s="23"/>
      <c r="AD13" s="23"/>
      <c r="AE13" s="23"/>
      <c r="AF13" s="64"/>
      <c r="AG13" s="23"/>
      <c r="AH13" s="23"/>
      <c r="AI13" s="23"/>
      <c r="AJ13" s="23"/>
      <c r="AK13" s="23"/>
      <c r="AL13" s="23"/>
    </row>
    <row r="14" spans="1:38" ht="19.2" customHeight="1" thickBot="1" x14ac:dyDescent="0.35">
      <c r="A14" s="8">
        <v>10</v>
      </c>
      <c r="B14" s="109" t="s">
        <v>73</v>
      </c>
      <c r="C14" s="9">
        <f t="shared" si="0"/>
        <v>0</v>
      </c>
      <c r="D14" s="46"/>
      <c r="E14" s="44"/>
      <c r="F14" s="44"/>
      <c r="G14" s="44"/>
      <c r="H14" s="44"/>
      <c r="I14" s="44"/>
      <c r="J14" s="42"/>
      <c r="K14" s="44"/>
      <c r="L14" s="44"/>
      <c r="M14" s="42"/>
      <c r="N14" s="44"/>
      <c r="O14" s="44"/>
      <c r="P14" s="42"/>
      <c r="Q14" s="44"/>
      <c r="R14" s="44"/>
      <c r="S14" s="44"/>
      <c r="T14" s="44"/>
      <c r="U14" s="44"/>
      <c r="V14" s="44"/>
      <c r="W14" s="44"/>
      <c r="X14" s="56"/>
      <c r="Y14" s="23"/>
      <c r="Z14" s="23"/>
      <c r="AA14" s="23"/>
      <c r="AB14" s="23"/>
      <c r="AC14" s="23"/>
      <c r="AD14" s="23"/>
      <c r="AE14" s="23"/>
      <c r="AF14" s="64"/>
      <c r="AG14" s="23"/>
      <c r="AH14" s="23"/>
      <c r="AI14" s="23"/>
      <c r="AJ14" s="23"/>
      <c r="AK14" s="23"/>
      <c r="AL14" s="23"/>
    </row>
    <row r="15" spans="1:38" ht="19.2" customHeight="1" thickBot="1" x14ac:dyDescent="0.35">
      <c r="A15" s="10">
        <v>11</v>
      </c>
      <c r="B15" s="109" t="s">
        <v>74</v>
      </c>
      <c r="C15" s="9">
        <f t="shared" si="0"/>
        <v>0</v>
      </c>
      <c r="D15" s="46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56"/>
      <c r="Y15" s="23"/>
      <c r="Z15" s="23"/>
      <c r="AA15" s="23"/>
      <c r="AB15" s="23"/>
      <c r="AC15" s="23"/>
      <c r="AD15" s="23"/>
      <c r="AE15" s="23"/>
      <c r="AF15" s="64"/>
      <c r="AG15" s="23"/>
      <c r="AH15" s="23"/>
      <c r="AI15" s="23"/>
      <c r="AJ15" s="23"/>
      <c r="AK15" s="23"/>
      <c r="AL15" s="23"/>
    </row>
    <row r="16" spans="1:38" ht="19.2" customHeight="1" thickBot="1" x14ac:dyDescent="0.35">
      <c r="A16" s="10">
        <v>12</v>
      </c>
      <c r="B16" s="109" t="s">
        <v>75</v>
      </c>
      <c r="C16" s="9">
        <f t="shared" si="0"/>
        <v>0</v>
      </c>
      <c r="D16" s="47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56"/>
      <c r="Y16" s="23"/>
      <c r="Z16" s="23"/>
      <c r="AA16" s="23"/>
      <c r="AB16" s="23"/>
      <c r="AC16" s="23"/>
      <c r="AD16" s="23"/>
      <c r="AE16" s="97"/>
      <c r="AF16" s="64"/>
      <c r="AG16" s="23"/>
      <c r="AH16" s="23"/>
      <c r="AI16" s="23"/>
      <c r="AJ16" s="23"/>
      <c r="AK16" s="23"/>
      <c r="AL16" s="23"/>
    </row>
    <row r="17" spans="1:38" ht="19.2" customHeight="1" thickBot="1" x14ac:dyDescent="0.35">
      <c r="A17" s="8">
        <v>13</v>
      </c>
      <c r="B17" s="109" t="s">
        <v>76</v>
      </c>
      <c r="C17" s="9">
        <f t="shared" si="0"/>
        <v>0</v>
      </c>
      <c r="D17" s="45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55"/>
      <c r="Y17" s="23"/>
      <c r="Z17" s="23"/>
      <c r="AA17" s="23"/>
      <c r="AB17" s="23"/>
      <c r="AC17" s="23"/>
      <c r="AD17" s="23"/>
      <c r="AE17" s="23"/>
      <c r="AF17" s="64"/>
      <c r="AG17" s="23"/>
      <c r="AH17" s="23"/>
      <c r="AI17" s="23"/>
      <c r="AJ17" s="23"/>
      <c r="AK17" s="23"/>
      <c r="AL17" s="23"/>
    </row>
    <row r="18" spans="1:38" ht="19.2" customHeight="1" thickBot="1" x14ac:dyDescent="0.35">
      <c r="A18" s="10">
        <v>14</v>
      </c>
      <c r="B18" s="109" t="s">
        <v>77</v>
      </c>
      <c r="C18" s="9">
        <f t="shared" si="0"/>
        <v>0</v>
      </c>
      <c r="D18" s="45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56"/>
      <c r="Y18" s="23"/>
      <c r="Z18" s="23"/>
      <c r="AA18" s="23"/>
      <c r="AB18" s="23"/>
      <c r="AC18" s="23"/>
      <c r="AD18" s="23"/>
      <c r="AE18" s="23"/>
      <c r="AF18" s="64"/>
      <c r="AG18" s="23"/>
      <c r="AH18" s="23"/>
      <c r="AI18" s="23"/>
      <c r="AJ18" s="23"/>
      <c r="AK18" s="23"/>
      <c r="AL18" s="23"/>
    </row>
    <row r="19" spans="1:38" ht="19.2" customHeight="1" thickBot="1" x14ac:dyDescent="0.35">
      <c r="A19" s="10">
        <v>15</v>
      </c>
      <c r="B19" s="109" t="s">
        <v>78</v>
      </c>
      <c r="C19" s="9">
        <f t="shared" si="0"/>
        <v>0</v>
      </c>
      <c r="D19" s="46"/>
      <c r="E19" s="44"/>
      <c r="F19" s="44"/>
      <c r="G19" s="44"/>
      <c r="H19" s="44"/>
      <c r="I19" s="44"/>
      <c r="J19" s="44"/>
      <c r="K19" s="44"/>
      <c r="L19" s="44"/>
      <c r="M19" s="44"/>
      <c r="N19" s="41"/>
      <c r="O19" s="41"/>
      <c r="P19" s="44"/>
      <c r="Q19" s="44"/>
      <c r="R19" s="44"/>
      <c r="S19" s="44"/>
      <c r="T19" s="44"/>
      <c r="U19" s="44"/>
      <c r="V19" s="44"/>
      <c r="W19" s="44"/>
      <c r="X19" s="56"/>
      <c r="Y19" s="23"/>
      <c r="Z19" s="23"/>
      <c r="AA19" s="23"/>
      <c r="AB19" s="23"/>
      <c r="AC19" s="23"/>
      <c r="AD19" s="23"/>
      <c r="AE19" s="23"/>
      <c r="AF19" s="64"/>
      <c r="AG19" s="23"/>
      <c r="AH19" s="23"/>
      <c r="AI19" s="23"/>
      <c r="AJ19" s="23"/>
      <c r="AK19" s="23"/>
      <c r="AL19" s="23"/>
    </row>
    <row r="20" spans="1:38" ht="19.2" customHeight="1" thickBot="1" x14ac:dyDescent="0.35">
      <c r="A20" s="8">
        <v>16</v>
      </c>
      <c r="B20" s="109" t="s">
        <v>79</v>
      </c>
      <c r="C20" s="9">
        <f t="shared" si="0"/>
        <v>0</v>
      </c>
      <c r="D20" s="45"/>
      <c r="E20" s="41"/>
      <c r="F20" s="41"/>
      <c r="G20" s="41"/>
      <c r="H20" s="41"/>
      <c r="I20" s="41"/>
      <c r="J20" s="41"/>
      <c r="K20" s="41"/>
      <c r="L20" s="41"/>
      <c r="M20" s="41"/>
      <c r="N20" s="44"/>
      <c r="O20" s="44"/>
      <c r="P20" s="41"/>
      <c r="Q20" s="41"/>
      <c r="R20" s="41"/>
      <c r="S20" s="41"/>
      <c r="T20" s="41"/>
      <c r="U20" s="41"/>
      <c r="V20" s="41"/>
      <c r="W20" s="41"/>
      <c r="X20" s="55"/>
      <c r="Y20" s="23"/>
      <c r="Z20" s="23"/>
      <c r="AA20" s="23"/>
      <c r="AB20" s="23"/>
      <c r="AC20" s="23"/>
      <c r="AD20" s="23"/>
      <c r="AE20" s="23"/>
      <c r="AF20" s="64"/>
      <c r="AG20" s="23"/>
      <c r="AH20" s="23"/>
      <c r="AI20" s="23"/>
      <c r="AJ20" s="23"/>
      <c r="AK20" s="23"/>
      <c r="AL20" s="23"/>
    </row>
    <row r="21" spans="1:38" ht="19.2" customHeight="1" thickBot="1" x14ac:dyDescent="0.35">
      <c r="A21" s="10">
        <v>17</v>
      </c>
      <c r="B21" s="109" t="s">
        <v>80</v>
      </c>
      <c r="C21" s="9">
        <f t="shared" si="0"/>
        <v>0</v>
      </c>
      <c r="D21" s="46"/>
      <c r="E21" s="44"/>
      <c r="F21" s="44"/>
      <c r="G21" s="44"/>
      <c r="H21" s="44"/>
      <c r="I21" s="44"/>
      <c r="J21" s="44"/>
      <c r="K21" s="44"/>
      <c r="L21" s="44"/>
      <c r="M21" s="44"/>
      <c r="N21" s="41"/>
      <c r="O21" s="41"/>
      <c r="P21" s="44"/>
      <c r="Q21" s="44"/>
      <c r="R21" s="44"/>
      <c r="S21" s="44"/>
      <c r="T21" s="44"/>
      <c r="U21" s="44"/>
      <c r="V21" s="44"/>
      <c r="W21" s="44"/>
      <c r="X21" s="56"/>
      <c r="Y21" s="23"/>
      <c r="Z21" s="23"/>
      <c r="AA21" s="23"/>
      <c r="AB21" s="23"/>
      <c r="AC21" s="23"/>
      <c r="AD21" s="23"/>
      <c r="AE21" s="23"/>
      <c r="AF21" s="64"/>
      <c r="AG21" s="23"/>
      <c r="AH21" s="23"/>
      <c r="AI21" s="23"/>
      <c r="AJ21" s="23"/>
      <c r="AK21" s="23"/>
      <c r="AL21" s="23"/>
    </row>
    <row r="22" spans="1:38" ht="19.2" customHeight="1" thickBot="1" x14ac:dyDescent="0.35">
      <c r="A22" s="10">
        <v>18</v>
      </c>
      <c r="B22" s="109" t="s">
        <v>91</v>
      </c>
      <c r="C22" s="9">
        <f t="shared" si="0"/>
        <v>0</v>
      </c>
      <c r="D22" s="46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56"/>
      <c r="Y22" s="23"/>
      <c r="Z22" s="23"/>
      <c r="AA22" s="23"/>
      <c r="AB22" s="23"/>
      <c r="AC22" s="23"/>
      <c r="AD22" s="23"/>
      <c r="AE22" s="23"/>
      <c r="AF22" s="64"/>
      <c r="AG22" s="23"/>
      <c r="AH22" s="23"/>
      <c r="AI22" s="23"/>
      <c r="AJ22" s="23"/>
      <c r="AK22" s="23"/>
      <c r="AL22" s="23"/>
    </row>
    <row r="23" spans="1:38" ht="19.2" customHeight="1" thickBot="1" x14ac:dyDescent="0.35">
      <c r="A23" s="8">
        <v>19</v>
      </c>
      <c r="B23" s="109" t="s">
        <v>81</v>
      </c>
      <c r="C23" s="9">
        <f t="shared" si="0"/>
        <v>0</v>
      </c>
      <c r="D23" s="46"/>
      <c r="E23" s="44"/>
      <c r="F23" s="44"/>
      <c r="G23" s="44"/>
      <c r="H23" s="44"/>
      <c r="I23" s="44"/>
      <c r="J23" s="44"/>
      <c r="K23" s="44"/>
      <c r="L23" s="44"/>
      <c r="M23" s="44"/>
      <c r="N23" s="41"/>
      <c r="O23" s="41"/>
      <c r="P23" s="44"/>
      <c r="Q23" s="44"/>
      <c r="R23" s="44"/>
      <c r="S23" s="44"/>
      <c r="T23" s="44"/>
      <c r="U23" s="44"/>
      <c r="V23" s="44"/>
      <c r="W23" s="44"/>
      <c r="X23" s="56"/>
      <c r="Y23" s="23"/>
      <c r="Z23" s="23"/>
      <c r="AA23" s="23"/>
      <c r="AB23" s="23"/>
      <c r="AC23" s="23"/>
      <c r="AD23" s="23"/>
      <c r="AE23" s="23"/>
      <c r="AF23" s="64"/>
      <c r="AG23" s="23"/>
      <c r="AH23" s="23"/>
      <c r="AI23" s="23"/>
      <c r="AJ23" s="23"/>
      <c r="AK23" s="23"/>
      <c r="AL23" s="23"/>
    </row>
    <row r="24" spans="1:38" ht="19.2" customHeight="1" thickBot="1" x14ac:dyDescent="0.35">
      <c r="A24" s="10">
        <v>20</v>
      </c>
      <c r="B24" s="111" t="s">
        <v>82</v>
      </c>
      <c r="C24" s="9">
        <f t="shared" si="0"/>
        <v>0</v>
      </c>
      <c r="D24" s="45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56"/>
      <c r="Y24" s="23"/>
      <c r="Z24" s="23"/>
      <c r="AA24" s="23"/>
      <c r="AB24" s="23"/>
      <c r="AC24" s="23"/>
      <c r="AD24" s="23"/>
      <c r="AE24" s="23"/>
      <c r="AF24" s="64"/>
      <c r="AG24" s="23"/>
      <c r="AH24" s="23"/>
      <c r="AI24" s="23"/>
      <c r="AJ24" s="23"/>
      <c r="AK24" s="23"/>
      <c r="AL24" s="23"/>
    </row>
    <row r="25" spans="1:38" ht="19.2" customHeight="1" thickBot="1" x14ac:dyDescent="0.35">
      <c r="A25" s="10">
        <v>21</v>
      </c>
      <c r="B25" s="109" t="s">
        <v>83</v>
      </c>
      <c r="C25" s="9">
        <f t="shared" si="0"/>
        <v>0</v>
      </c>
      <c r="D25" s="45"/>
      <c r="E25" s="44"/>
      <c r="F25" s="44"/>
      <c r="G25" s="44"/>
      <c r="H25" s="44"/>
      <c r="I25" s="44"/>
      <c r="J25" s="44"/>
      <c r="K25" s="44"/>
      <c r="L25" s="44"/>
      <c r="M25" s="44"/>
      <c r="N25" s="41"/>
      <c r="O25" s="41"/>
      <c r="P25" s="44"/>
      <c r="Q25" s="44"/>
      <c r="R25" s="44"/>
      <c r="S25" s="44"/>
      <c r="T25" s="44"/>
      <c r="U25" s="44"/>
      <c r="V25" s="44"/>
      <c r="W25" s="44"/>
      <c r="X25" s="56"/>
      <c r="Y25" s="23"/>
      <c r="Z25" s="23"/>
      <c r="AA25" s="23"/>
      <c r="AB25" s="23"/>
      <c r="AC25" s="23"/>
      <c r="AD25" s="23"/>
      <c r="AE25" s="23"/>
      <c r="AF25" s="64"/>
      <c r="AG25" s="23"/>
      <c r="AH25" s="23"/>
      <c r="AI25" s="23"/>
      <c r="AJ25" s="23"/>
      <c r="AK25" s="23"/>
      <c r="AL25" s="23"/>
    </row>
    <row r="26" spans="1:38" ht="19.2" customHeight="1" thickBot="1" x14ac:dyDescent="0.35">
      <c r="A26" s="8">
        <v>22</v>
      </c>
      <c r="B26" s="112" t="s">
        <v>84</v>
      </c>
      <c r="C26" s="9">
        <f t="shared" si="0"/>
        <v>0</v>
      </c>
      <c r="D26" s="46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56"/>
      <c r="Y26" s="23"/>
      <c r="Z26" s="23"/>
      <c r="AA26" s="23"/>
      <c r="AB26" s="23"/>
      <c r="AC26" s="23"/>
      <c r="AD26" s="23"/>
      <c r="AE26" s="23"/>
      <c r="AF26" s="64"/>
      <c r="AG26" s="23"/>
      <c r="AH26" s="23"/>
      <c r="AI26" s="23"/>
      <c r="AJ26" s="23"/>
      <c r="AK26" s="23"/>
      <c r="AL26" s="23"/>
    </row>
    <row r="27" spans="1:38" ht="19.2" customHeight="1" thickBot="1" x14ac:dyDescent="0.35">
      <c r="A27" s="10">
        <v>23</v>
      </c>
      <c r="B27" s="109" t="s">
        <v>432</v>
      </c>
      <c r="C27" s="9">
        <f t="shared" si="0"/>
        <v>0</v>
      </c>
      <c r="D27" s="46"/>
      <c r="E27" s="44"/>
      <c r="F27" s="44"/>
      <c r="G27" s="44"/>
      <c r="H27" s="44"/>
      <c r="I27" s="44"/>
      <c r="J27" s="44"/>
      <c r="K27" s="44"/>
      <c r="L27" s="44"/>
      <c r="M27" s="44"/>
      <c r="N27" s="41"/>
      <c r="O27" s="41"/>
      <c r="P27" s="44"/>
      <c r="Q27" s="44"/>
      <c r="R27" s="44"/>
      <c r="S27" s="44"/>
      <c r="T27" s="44"/>
      <c r="U27" s="44"/>
      <c r="V27" s="44"/>
      <c r="W27" s="44"/>
      <c r="X27" s="56"/>
      <c r="Y27" s="23"/>
      <c r="Z27" s="23"/>
      <c r="AA27" s="23"/>
      <c r="AB27" s="23"/>
      <c r="AC27" s="23"/>
      <c r="AD27" s="23"/>
      <c r="AE27" s="23"/>
      <c r="AF27" s="64"/>
      <c r="AG27" s="23"/>
      <c r="AH27" s="23"/>
      <c r="AI27" s="23"/>
      <c r="AJ27" s="23"/>
      <c r="AK27" s="23"/>
      <c r="AL27" s="23"/>
    </row>
    <row r="28" spans="1:38" ht="19.2" customHeight="1" thickBot="1" x14ac:dyDescent="0.35">
      <c r="A28" s="10">
        <v>24</v>
      </c>
      <c r="B28" s="109" t="s">
        <v>85</v>
      </c>
      <c r="C28" s="9">
        <f t="shared" si="0"/>
        <v>0</v>
      </c>
      <c r="D28" s="46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56"/>
      <c r="Y28" s="23"/>
      <c r="Z28" s="23"/>
      <c r="AA28" s="23"/>
      <c r="AB28" s="23"/>
      <c r="AC28" s="23"/>
      <c r="AD28" s="23"/>
      <c r="AE28" s="23"/>
      <c r="AF28" s="64"/>
      <c r="AG28" s="23"/>
      <c r="AH28" s="23"/>
      <c r="AI28" s="23"/>
      <c r="AJ28" s="23"/>
      <c r="AK28" s="23"/>
      <c r="AL28" s="23"/>
    </row>
    <row r="29" spans="1:38" ht="19.2" customHeight="1" thickBot="1" x14ac:dyDescent="0.35">
      <c r="A29" s="99">
        <v>25</v>
      </c>
      <c r="B29" s="109" t="s">
        <v>86</v>
      </c>
      <c r="C29" s="9">
        <f t="shared" si="0"/>
        <v>0</v>
      </c>
      <c r="D29" s="100"/>
      <c r="E29" s="101"/>
      <c r="F29" s="101"/>
      <c r="G29" s="101"/>
      <c r="H29" s="101"/>
      <c r="I29" s="101"/>
      <c r="J29" s="101"/>
      <c r="K29" s="101"/>
      <c r="L29" s="101"/>
      <c r="M29" s="101"/>
      <c r="N29" s="102"/>
      <c r="O29" s="101"/>
      <c r="P29" s="101"/>
      <c r="Q29" s="101"/>
      <c r="R29" s="101"/>
      <c r="S29" s="101"/>
      <c r="T29" s="101"/>
      <c r="U29" s="101"/>
      <c r="V29" s="101"/>
      <c r="W29" s="101"/>
      <c r="X29" s="103"/>
      <c r="Y29" s="104"/>
      <c r="Z29" s="104"/>
      <c r="AA29" s="104"/>
      <c r="AB29" s="104"/>
      <c r="AC29" s="104"/>
      <c r="AD29" s="104"/>
      <c r="AE29" s="104"/>
      <c r="AF29" s="105"/>
      <c r="AG29" s="104"/>
      <c r="AH29" s="104"/>
      <c r="AI29" s="104"/>
      <c r="AJ29" s="104"/>
      <c r="AK29" s="104"/>
      <c r="AL29" s="104"/>
    </row>
    <row r="30" spans="1:38" ht="19.2" customHeight="1" thickBot="1" x14ac:dyDescent="0.35">
      <c r="A30" s="23">
        <v>26</v>
      </c>
      <c r="B30" s="109" t="s">
        <v>88</v>
      </c>
      <c r="C30" s="9">
        <f t="shared" si="0"/>
        <v>0</v>
      </c>
      <c r="D30" s="107"/>
      <c r="E30" s="107"/>
      <c r="F30" s="107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1" spans="1:38" ht="19.2" customHeight="1" thickBot="1" x14ac:dyDescent="0.35">
      <c r="A31" s="104">
        <v>27</v>
      </c>
      <c r="B31" s="109" t="s">
        <v>89</v>
      </c>
      <c r="C31" s="9">
        <f t="shared" si="0"/>
        <v>0</v>
      </c>
      <c r="D31" s="108"/>
      <c r="E31" s="108"/>
      <c r="F31" s="108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</row>
    <row r="32" spans="1:38" ht="19.2" customHeight="1" thickBot="1" x14ac:dyDescent="0.35">
      <c r="A32" s="23">
        <v>28</v>
      </c>
      <c r="B32" s="109" t="s">
        <v>90</v>
      </c>
      <c r="C32" s="9">
        <f t="shared" si="0"/>
        <v>0</v>
      </c>
      <c r="D32" s="107"/>
      <c r="E32" s="107"/>
      <c r="F32" s="107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 spans="2:38" ht="15" thickBot="1" x14ac:dyDescent="0.35">
      <c r="B33" s="109" t="s">
        <v>121</v>
      </c>
      <c r="C33" s="700">
        <f t="shared" si="0"/>
        <v>0</v>
      </c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</sheetData>
  <sortState ref="B6:B30">
    <sortCondition ref="B5"/>
  </sortState>
  <mergeCells count="4">
    <mergeCell ref="A2:A4"/>
    <mergeCell ref="B2:B3"/>
    <mergeCell ref="C2:C3"/>
    <mergeCell ref="A1:AL1"/>
  </mergeCells>
  <pageMargins left="0.25" right="0.25" top="0.75" bottom="0.75" header="0.3" footer="0.3"/>
  <pageSetup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H34"/>
  <sheetViews>
    <sheetView topLeftCell="A27" zoomScale="120" zoomScaleNormal="120" workbookViewId="0">
      <selection activeCell="V43" sqref="V43"/>
    </sheetView>
  </sheetViews>
  <sheetFormatPr baseColWidth="10" defaultRowHeight="14.4" x14ac:dyDescent="0.3"/>
  <cols>
    <col min="1" max="1" width="3.88671875" customWidth="1"/>
    <col min="2" max="2" width="17.77734375" customWidth="1"/>
    <col min="3" max="34" width="2.5546875" customWidth="1"/>
  </cols>
  <sheetData>
    <row r="1" spans="1:34" ht="21.6" thickBot="1" x14ac:dyDescent="0.35">
      <c r="A1" s="757" t="s">
        <v>7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7"/>
      <c r="N1" s="757"/>
      <c r="O1" s="757"/>
      <c r="P1" s="757"/>
      <c r="Q1" s="757"/>
      <c r="R1" s="757"/>
      <c r="S1" s="757"/>
      <c r="T1" s="757"/>
      <c r="U1" s="757"/>
      <c r="V1" s="757"/>
      <c r="W1" s="757"/>
      <c r="X1" s="757"/>
      <c r="Y1" s="757"/>
      <c r="Z1" s="757"/>
      <c r="AA1" s="757"/>
      <c r="AB1" s="757"/>
      <c r="AC1" s="757"/>
      <c r="AD1" s="757"/>
      <c r="AE1" s="757"/>
      <c r="AF1" s="757"/>
      <c r="AG1" s="757"/>
      <c r="AH1" s="757"/>
    </row>
    <row r="2" spans="1:34" ht="16.2" thickBot="1" x14ac:dyDescent="0.35">
      <c r="A2" s="810" t="s">
        <v>0</v>
      </c>
      <c r="B2" s="811"/>
      <c r="C2" s="816" t="s">
        <v>126</v>
      </c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6" t="s">
        <v>127</v>
      </c>
      <c r="O2" s="817"/>
      <c r="P2" s="817"/>
      <c r="Q2" s="817"/>
      <c r="R2" s="817"/>
      <c r="S2" s="817"/>
      <c r="T2" s="817"/>
      <c r="U2" s="817"/>
      <c r="V2" s="817"/>
      <c r="W2" s="817"/>
      <c r="X2" s="817"/>
      <c r="Y2" s="816" t="s">
        <v>8</v>
      </c>
      <c r="Z2" s="817"/>
      <c r="AA2" s="817"/>
      <c r="AB2" s="817"/>
      <c r="AC2" s="817"/>
      <c r="AD2" s="817"/>
      <c r="AE2" s="817"/>
      <c r="AF2" s="817"/>
      <c r="AG2" s="817"/>
      <c r="AH2" s="817"/>
    </row>
    <row r="3" spans="1:34" ht="15" thickBot="1" x14ac:dyDescent="0.35">
      <c r="A3" s="812"/>
      <c r="B3" s="813"/>
      <c r="C3" s="11">
        <v>1</v>
      </c>
      <c r="D3" s="12">
        <v>2</v>
      </c>
      <c r="E3" s="12">
        <v>3</v>
      </c>
      <c r="F3" s="11">
        <v>6</v>
      </c>
      <c r="G3" s="12">
        <v>7</v>
      </c>
      <c r="H3" s="12">
        <v>8</v>
      </c>
      <c r="I3" s="11">
        <v>9</v>
      </c>
      <c r="J3" s="13">
        <v>12</v>
      </c>
      <c r="K3" s="13">
        <v>13</v>
      </c>
      <c r="L3" s="13">
        <v>14</v>
      </c>
      <c r="M3" s="13">
        <v>15</v>
      </c>
      <c r="N3" s="11">
        <v>1</v>
      </c>
      <c r="O3" s="12">
        <v>2</v>
      </c>
      <c r="P3" s="12">
        <v>3</v>
      </c>
      <c r="Q3" s="11">
        <v>4</v>
      </c>
      <c r="R3" s="12">
        <v>5</v>
      </c>
      <c r="S3" s="12">
        <v>6</v>
      </c>
      <c r="T3" s="11">
        <v>7</v>
      </c>
      <c r="U3" s="12">
        <v>8</v>
      </c>
      <c r="V3" s="12">
        <v>9</v>
      </c>
      <c r="W3" s="11">
        <v>10</v>
      </c>
      <c r="X3" s="13">
        <v>11</v>
      </c>
      <c r="Y3" s="11">
        <v>1</v>
      </c>
      <c r="Z3" s="12">
        <v>2</v>
      </c>
      <c r="AA3" s="12">
        <v>3</v>
      </c>
      <c r="AB3" s="11">
        <v>4</v>
      </c>
      <c r="AC3" s="12">
        <v>5</v>
      </c>
      <c r="AD3" s="12">
        <v>6</v>
      </c>
      <c r="AE3" s="11">
        <v>7</v>
      </c>
      <c r="AF3" s="12">
        <v>8</v>
      </c>
      <c r="AG3" s="12">
        <v>9</v>
      </c>
      <c r="AH3" s="11">
        <v>10</v>
      </c>
    </row>
    <row r="4" spans="1:34" ht="15" thickBot="1" x14ac:dyDescent="0.35">
      <c r="A4" s="812"/>
      <c r="B4" s="813"/>
      <c r="C4" s="14">
        <v>1</v>
      </c>
      <c r="D4" s="14">
        <v>2</v>
      </c>
      <c r="E4" s="14">
        <v>3</v>
      </c>
      <c r="F4" s="14">
        <v>6</v>
      </c>
      <c r="G4" s="14"/>
      <c r="H4" s="14"/>
      <c r="I4" s="14"/>
      <c r="J4" s="14"/>
      <c r="K4" s="14"/>
      <c r="L4" s="14"/>
      <c r="M4" s="14"/>
      <c r="N4" s="15"/>
      <c r="O4" s="14"/>
      <c r="P4" s="14"/>
      <c r="Q4" s="14"/>
      <c r="R4" s="14"/>
      <c r="S4" s="14"/>
      <c r="T4" s="14"/>
      <c r="U4" s="14"/>
      <c r="V4" s="14"/>
      <c r="W4" s="14"/>
      <c r="X4" s="14"/>
      <c r="Y4" s="15">
        <v>13</v>
      </c>
      <c r="Z4" s="15">
        <v>15</v>
      </c>
      <c r="AA4" s="16">
        <v>16</v>
      </c>
      <c r="AB4" s="15">
        <v>17</v>
      </c>
      <c r="AC4" s="15">
        <v>20</v>
      </c>
      <c r="AD4" s="15">
        <v>22</v>
      </c>
      <c r="AE4" s="14"/>
      <c r="AF4" s="14"/>
      <c r="AG4" s="14"/>
      <c r="AH4" s="14"/>
    </row>
    <row r="5" spans="1:34" ht="21" x14ac:dyDescent="0.3">
      <c r="A5" s="814"/>
      <c r="B5" s="815"/>
      <c r="C5" s="24" t="s">
        <v>58</v>
      </c>
      <c r="D5" s="24" t="s">
        <v>59</v>
      </c>
      <c r="E5" s="24" t="s">
        <v>9</v>
      </c>
      <c r="F5" s="24" t="s">
        <v>60</v>
      </c>
      <c r="G5" s="24" t="s">
        <v>58</v>
      </c>
      <c r="H5" s="24" t="s">
        <v>59</v>
      </c>
      <c r="I5" s="24" t="s">
        <v>9</v>
      </c>
      <c r="J5" s="24" t="s">
        <v>60</v>
      </c>
      <c r="K5" s="24" t="s">
        <v>58</v>
      </c>
      <c r="L5" s="24" t="s">
        <v>59</v>
      </c>
      <c r="M5" s="24" t="s">
        <v>9</v>
      </c>
      <c r="N5" s="24" t="s">
        <v>60</v>
      </c>
      <c r="O5" s="24" t="s">
        <v>124</v>
      </c>
      <c r="P5" s="24" t="s">
        <v>125</v>
      </c>
      <c r="Q5" s="24" t="s">
        <v>59</v>
      </c>
      <c r="R5" s="24" t="s">
        <v>9</v>
      </c>
      <c r="S5" s="24" t="s">
        <v>60</v>
      </c>
      <c r="T5" s="24" t="s">
        <v>125</v>
      </c>
      <c r="U5" s="24"/>
      <c r="V5" s="24"/>
      <c r="W5" s="25"/>
      <c r="X5" s="24"/>
      <c r="Y5" s="24" t="s">
        <v>60</v>
      </c>
      <c r="Z5" s="24" t="s">
        <v>125</v>
      </c>
      <c r="AA5" s="24" t="s">
        <v>59</v>
      </c>
      <c r="AB5" s="24" t="s">
        <v>9</v>
      </c>
      <c r="AC5" s="24" t="s">
        <v>60</v>
      </c>
      <c r="AD5" s="24" t="s">
        <v>125</v>
      </c>
      <c r="AE5" s="25"/>
      <c r="AF5" s="24"/>
      <c r="AG5" s="24"/>
      <c r="AH5" s="24"/>
    </row>
    <row r="6" spans="1:34" ht="18.600000000000001" customHeight="1" x14ac:dyDescent="0.3">
      <c r="A6" s="17">
        <v>1</v>
      </c>
      <c r="B6" s="5" t="s">
        <v>439</v>
      </c>
      <c r="C6" s="23"/>
      <c r="D6" s="23"/>
      <c r="E6" s="23"/>
      <c r="F6" s="4"/>
      <c r="G6" s="20"/>
      <c r="H6" s="4"/>
      <c r="I6" s="21"/>
      <c r="J6" s="20"/>
      <c r="K6" s="20"/>
      <c r="L6" s="20"/>
      <c r="M6" s="20"/>
      <c r="N6" s="4"/>
      <c r="O6" s="21"/>
      <c r="P6" s="4"/>
      <c r="Q6" s="4"/>
      <c r="R6" s="4"/>
      <c r="S6" s="4"/>
      <c r="T6" s="21"/>
      <c r="U6" s="4"/>
      <c r="V6" s="98"/>
      <c r="W6" s="98"/>
      <c r="X6" s="98"/>
      <c r="Y6" s="4"/>
      <c r="Z6" s="4"/>
      <c r="AA6" s="21"/>
      <c r="AB6" s="4"/>
      <c r="AC6" s="4"/>
      <c r="AD6" s="4"/>
      <c r="AE6" s="20"/>
      <c r="AF6" s="23"/>
      <c r="AG6" s="26"/>
      <c r="AH6" s="20"/>
    </row>
    <row r="7" spans="1:34" ht="18.600000000000001" customHeight="1" x14ac:dyDescent="0.3">
      <c r="A7" s="19">
        <v>2</v>
      </c>
      <c r="B7" s="5" t="s">
        <v>92</v>
      </c>
      <c r="C7" s="23"/>
      <c r="D7" s="23"/>
      <c r="E7" s="23"/>
      <c r="F7" s="4"/>
      <c r="G7" s="20"/>
      <c r="H7" s="4"/>
      <c r="I7" s="21"/>
      <c r="J7" s="20"/>
      <c r="K7" s="20"/>
      <c r="L7" s="20"/>
      <c r="M7" s="20"/>
      <c r="N7" s="20"/>
      <c r="O7" s="21"/>
      <c r="P7" s="4"/>
      <c r="Q7" s="4"/>
      <c r="R7" s="4"/>
      <c r="S7" s="4"/>
      <c r="T7" s="21"/>
      <c r="U7" s="4"/>
      <c r="V7" s="98"/>
      <c r="W7" s="98"/>
      <c r="X7" s="98"/>
      <c r="Y7" s="4"/>
      <c r="Z7" s="4"/>
      <c r="AA7" s="21"/>
      <c r="AB7" s="4"/>
      <c r="AC7" s="4"/>
      <c r="AD7" s="4"/>
      <c r="AE7" s="20"/>
      <c r="AF7" s="23"/>
      <c r="AG7" s="26"/>
      <c r="AH7" s="20"/>
    </row>
    <row r="8" spans="1:34" ht="18.600000000000001" customHeight="1" x14ac:dyDescent="0.3">
      <c r="A8" s="3">
        <v>3</v>
      </c>
      <c r="B8" s="36" t="s">
        <v>93</v>
      </c>
      <c r="C8" s="23"/>
      <c r="D8" s="23"/>
      <c r="E8" s="23"/>
      <c r="F8" s="4"/>
      <c r="G8" s="20"/>
      <c r="H8" s="4"/>
      <c r="I8" s="21"/>
      <c r="J8" s="20"/>
      <c r="K8" s="20"/>
      <c r="L8" s="20"/>
      <c r="M8" s="20"/>
      <c r="N8" s="4"/>
      <c r="O8" s="21"/>
      <c r="P8" s="4"/>
      <c r="Q8" s="4"/>
      <c r="R8" s="4"/>
      <c r="S8" s="4"/>
      <c r="T8" s="21"/>
      <c r="U8" s="4"/>
      <c r="V8" s="98"/>
      <c r="W8" s="98"/>
      <c r="X8" s="98"/>
      <c r="Y8" s="4"/>
      <c r="Z8" s="4"/>
      <c r="AA8" s="21"/>
      <c r="AB8" s="4"/>
      <c r="AC8" s="4"/>
      <c r="AD8" s="4"/>
      <c r="AE8" s="20"/>
      <c r="AF8" s="23"/>
      <c r="AG8" s="26"/>
      <c r="AH8" s="20"/>
    </row>
    <row r="9" spans="1:34" ht="18.600000000000001" customHeight="1" x14ac:dyDescent="0.3">
      <c r="A9" s="17">
        <v>4</v>
      </c>
      <c r="B9" s="5" t="s">
        <v>94</v>
      </c>
      <c r="C9" s="23"/>
      <c r="D9" s="23"/>
      <c r="E9" s="23"/>
      <c r="F9" s="4"/>
      <c r="G9" s="20"/>
      <c r="H9" s="4"/>
      <c r="I9" s="21"/>
      <c r="J9" s="20"/>
      <c r="K9" s="20"/>
      <c r="L9" s="20"/>
      <c r="M9" s="20"/>
      <c r="N9" s="20"/>
      <c r="O9" s="21"/>
      <c r="P9" s="4"/>
      <c r="Q9" s="4"/>
      <c r="R9" s="4"/>
      <c r="S9" s="4"/>
      <c r="T9" s="21"/>
      <c r="U9" s="4"/>
      <c r="V9" s="98"/>
      <c r="W9" s="98"/>
      <c r="X9" s="98"/>
      <c r="Y9" s="4"/>
      <c r="Z9" s="4"/>
      <c r="AA9" s="21"/>
      <c r="AB9" s="4"/>
      <c r="AC9" s="4"/>
      <c r="AD9" s="4"/>
      <c r="AE9" s="20"/>
      <c r="AF9" s="23"/>
      <c r="AG9" s="26"/>
      <c r="AH9" s="20"/>
    </row>
    <row r="10" spans="1:34" ht="18.600000000000001" customHeight="1" x14ac:dyDescent="0.3">
      <c r="A10" s="19">
        <v>5</v>
      </c>
      <c r="B10" s="36" t="s">
        <v>95</v>
      </c>
      <c r="C10" s="23"/>
      <c r="D10" s="23"/>
      <c r="E10" s="23"/>
      <c r="F10" s="4"/>
      <c r="G10" s="20"/>
      <c r="H10" s="4"/>
      <c r="I10" s="21"/>
      <c r="J10" s="20"/>
      <c r="K10" s="20"/>
      <c r="L10" s="20"/>
      <c r="M10" s="20"/>
      <c r="N10" s="4"/>
      <c r="O10" s="21"/>
      <c r="P10" s="4"/>
      <c r="Q10" s="4"/>
      <c r="R10" s="4"/>
      <c r="S10" s="4"/>
      <c r="T10" s="21"/>
      <c r="U10" s="4"/>
      <c r="V10" s="98"/>
      <c r="W10" s="98"/>
      <c r="X10" s="98"/>
      <c r="Y10" s="4"/>
      <c r="Z10" s="4"/>
      <c r="AA10" s="21"/>
      <c r="AB10" s="4"/>
      <c r="AC10" s="4"/>
      <c r="AD10" s="4"/>
      <c r="AE10" s="20"/>
      <c r="AF10" s="23"/>
      <c r="AG10" s="26"/>
      <c r="AH10" s="20"/>
    </row>
    <row r="11" spans="1:34" ht="18.600000000000001" customHeight="1" x14ac:dyDescent="0.3">
      <c r="A11" s="3">
        <v>6</v>
      </c>
      <c r="B11" s="5" t="s">
        <v>96</v>
      </c>
      <c r="C11" s="23"/>
      <c r="D11" s="23"/>
      <c r="E11" s="23"/>
      <c r="F11" s="4"/>
      <c r="G11" s="20"/>
      <c r="H11" s="4"/>
      <c r="I11" s="21"/>
      <c r="J11" s="20"/>
      <c r="K11" s="20"/>
      <c r="L11" s="20"/>
      <c r="M11" s="20"/>
      <c r="N11" s="20"/>
      <c r="O11" s="21"/>
      <c r="P11" s="4"/>
      <c r="Q11" s="4"/>
      <c r="R11" s="4"/>
      <c r="S11" s="4"/>
      <c r="T11" s="21"/>
      <c r="U11" s="4"/>
      <c r="V11" s="98"/>
      <c r="W11" s="98"/>
      <c r="X11" s="98"/>
      <c r="Y11" s="4"/>
      <c r="Z11" s="4"/>
      <c r="AA11" s="21"/>
      <c r="AB11" s="4"/>
      <c r="AC11" s="4"/>
      <c r="AD11" s="4"/>
      <c r="AE11" s="20"/>
      <c r="AF11" s="23"/>
      <c r="AG11" s="26"/>
      <c r="AH11" s="20"/>
    </row>
    <row r="12" spans="1:34" ht="18.600000000000001" customHeight="1" x14ac:dyDescent="0.3">
      <c r="A12" s="17">
        <v>7</v>
      </c>
      <c r="B12" s="5" t="s">
        <v>97</v>
      </c>
      <c r="C12" s="23"/>
      <c r="D12" s="23"/>
      <c r="E12" s="23"/>
      <c r="F12" s="4"/>
      <c r="G12" s="20"/>
      <c r="H12" s="4"/>
      <c r="I12" s="21"/>
      <c r="J12" s="20"/>
      <c r="K12" s="20"/>
      <c r="L12" s="20"/>
      <c r="M12" s="20"/>
      <c r="N12" s="4"/>
      <c r="O12" s="21"/>
      <c r="P12" s="4"/>
      <c r="Q12" s="4"/>
      <c r="R12" s="4"/>
      <c r="S12" s="4"/>
      <c r="T12" s="21"/>
      <c r="U12" s="4"/>
      <c r="V12" s="98"/>
      <c r="W12" s="98"/>
      <c r="X12" s="98"/>
      <c r="Y12" s="4"/>
      <c r="Z12" s="4"/>
      <c r="AA12" s="21"/>
      <c r="AB12" s="4"/>
      <c r="AC12" s="4"/>
      <c r="AD12" s="4"/>
      <c r="AE12" s="20"/>
      <c r="AF12" s="23"/>
      <c r="AG12" s="26"/>
      <c r="AH12" s="20"/>
    </row>
    <row r="13" spans="1:34" ht="18.600000000000001" customHeight="1" x14ac:dyDescent="0.3">
      <c r="A13" s="19">
        <v>8</v>
      </c>
      <c r="B13" s="5" t="s">
        <v>98</v>
      </c>
      <c r="C13" s="23"/>
      <c r="D13" s="23"/>
      <c r="E13" s="23"/>
      <c r="F13" s="4"/>
      <c r="G13" s="20"/>
      <c r="H13" s="4"/>
      <c r="I13" s="21"/>
      <c r="J13" s="20"/>
      <c r="K13" s="20"/>
      <c r="L13" s="20"/>
      <c r="M13" s="20"/>
      <c r="N13" s="20"/>
      <c r="O13" s="21"/>
      <c r="P13" s="4"/>
      <c r="Q13" s="4"/>
      <c r="R13" s="4"/>
      <c r="S13" s="4"/>
      <c r="T13" s="21"/>
      <c r="U13" s="4"/>
      <c r="V13" s="98"/>
      <c r="W13" s="98"/>
      <c r="X13" s="98"/>
      <c r="Y13" s="4"/>
      <c r="Z13" s="4"/>
      <c r="AA13" s="21"/>
      <c r="AB13" s="4"/>
      <c r="AC13" s="4"/>
      <c r="AD13" s="4"/>
      <c r="AE13" s="20"/>
      <c r="AF13" s="23"/>
      <c r="AG13" s="26"/>
      <c r="AH13" s="20"/>
    </row>
    <row r="14" spans="1:34" ht="18.600000000000001" customHeight="1" x14ac:dyDescent="0.3">
      <c r="A14" s="3">
        <v>9</v>
      </c>
      <c r="B14" s="5" t="s">
        <v>99</v>
      </c>
      <c r="C14" s="23"/>
      <c r="D14" s="23"/>
      <c r="E14" s="23"/>
      <c r="F14" s="4"/>
      <c r="G14" s="20"/>
      <c r="H14" s="4"/>
      <c r="I14" s="21"/>
      <c r="J14" s="20"/>
      <c r="K14" s="20"/>
      <c r="L14" s="20"/>
      <c r="M14" s="20"/>
      <c r="N14" s="4"/>
      <c r="O14" s="21"/>
      <c r="P14" s="4"/>
      <c r="Q14" s="4"/>
      <c r="R14" s="4"/>
      <c r="S14" s="4"/>
      <c r="T14" s="21"/>
      <c r="U14" s="4"/>
      <c r="V14" s="98"/>
      <c r="W14" s="98"/>
      <c r="X14" s="98"/>
      <c r="Y14" s="4"/>
      <c r="Z14" s="4"/>
      <c r="AA14" s="21"/>
      <c r="AB14" s="4"/>
      <c r="AC14" s="4"/>
      <c r="AD14" s="4"/>
      <c r="AE14" s="20"/>
      <c r="AF14" s="23"/>
      <c r="AG14" s="26"/>
      <c r="AH14" s="20"/>
    </row>
    <row r="15" spans="1:34" ht="18.600000000000001" customHeight="1" x14ac:dyDescent="0.3">
      <c r="A15" s="17">
        <v>10</v>
      </c>
      <c r="B15" s="5" t="s">
        <v>100</v>
      </c>
      <c r="C15" s="23"/>
      <c r="D15" s="23"/>
      <c r="E15" s="23"/>
      <c r="F15" s="4"/>
      <c r="G15" s="20"/>
      <c r="H15" s="4"/>
      <c r="I15" s="21"/>
      <c r="J15" s="20"/>
      <c r="K15" s="20"/>
      <c r="L15" s="20"/>
      <c r="M15" s="20"/>
      <c r="N15" s="20"/>
      <c r="O15" s="21"/>
      <c r="P15" s="4"/>
      <c r="Q15" s="4"/>
      <c r="R15" s="4"/>
      <c r="S15" s="4"/>
      <c r="T15" s="21"/>
      <c r="U15" s="4"/>
      <c r="V15" s="98"/>
      <c r="W15" s="98"/>
      <c r="X15" s="98"/>
      <c r="Y15" s="4"/>
      <c r="Z15" s="4"/>
      <c r="AA15" s="21"/>
      <c r="AB15" s="4"/>
      <c r="AC15" s="4"/>
      <c r="AD15" s="4"/>
      <c r="AE15" s="20"/>
      <c r="AF15" s="23"/>
      <c r="AG15" s="26"/>
      <c r="AH15" s="20"/>
    </row>
    <row r="16" spans="1:34" ht="18.600000000000001" customHeight="1" x14ac:dyDescent="0.3">
      <c r="A16" s="19">
        <v>11</v>
      </c>
      <c r="B16" s="5" t="s">
        <v>101</v>
      </c>
      <c r="C16" s="23"/>
      <c r="D16" s="23"/>
      <c r="E16" s="23"/>
      <c r="F16" s="4"/>
      <c r="G16" s="20"/>
      <c r="H16" s="4"/>
      <c r="I16" s="21"/>
      <c r="J16" s="20"/>
      <c r="K16" s="20"/>
      <c r="L16" s="20"/>
      <c r="M16" s="20"/>
      <c r="N16" s="4"/>
      <c r="O16" s="21"/>
      <c r="P16" s="4"/>
      <c r="Q16" s="4"/>
      <c r="R16" s="4"/>
      <c r="S16" s="4"/>
      <c r="T16" s="21"/>
      <c r="U16" s="4"/>
      <c r="V16" s="98"/>
      <c r="W16" s="98"/>
      <c r="X16" s="98"/>
      <c r="Y16" s="4"/>
      <c r="Z16" s="4"/>
      <c r="AA16" s="21"/>
      <c r="AB16" s="4"/>
      <c r="AC16" s="4"/>
      <c r="AD16" s="4"/>
      <c r="AE16" s="20"/>
      <c r="AF16" s="23"/>
      <c r="AG16" s="26"/>
      <c r="AH16" s="20"/>
    </row>
    <row r="17" spans="1:34" ht="18.600000000000001" customHeight="1" x14ac:dyDescent="0.3">
      <c r="A17" s="3">
        <v>12</v>
      </c>
      <c r="B17" s="5" t="s">
        <v>102</v>
      </c>
      <c r="C17" s="23"/>
      <c r="D17" s="23"/>
      <c r="E17" s="23"/>
      <c r="F17" s="4"/>
      <c r="G17" s="20"/>
      <c r="H17" s="4"/>
      <c r="I17" s="21"/>
      <c r="J17" s="20"/>
      <c r="K17" s="20"/>
      <c r="L17" s="20"/>
      <c r="M17" s="20"/>
      <c r="N17" s="20"/>
      <c r="O17" s="21"/>
      <c r="P17" s="4"/>
      <c r="Q17" s="4"/>
      <c r="R17" s="4"/>
      <c r="S17" s="4"/>
      <c r="T17" s="21"/>
      <c r="U17" s="4"/>
      <c r="V17" s="98"/>
      <c r="W17" s="98"/>
      <c r="X17" s="98"/>
      <c r="Y17" s="4"/>
      <c r="Z17" s="4"/>
      <c r="AA17" s="21"/>
      <c r="AB17" s="4"/>
      <c r="AC17" s="4"/>
      <c r="AD17" s="4"/>
      <c r="AE17" s="20"/>
      <c r="AF17" s="23"/>
      <c r="AG17" s="26"/>
      <c r="AH17" s="20"/>
    </row>
    <row r="18" spans="1:34" ht="18.600000000000001" customHeight="1" x14ac:dyDescent="0.3">
      <c r="A18" s="17">
        <v>13</v>
      </c>
      <c r="B18" s="5" t="s">
        <v>103</v>
      </c>
      <c r="C18" s="23"/>
      <c r="D18" s="23"/>
      <c r="E18" s="23"/>
      <c r="F18" s="4"/>
      <c r="G18" s="21"/>
      <c r="H18" s="4"/>
      <c r="I18" s="21"/>
      <c r="J18" s="4"/>
      <c r="K18" s="4"/>
      <c r="L18" s="21"/>
      <c r="M18" s="20"/>
      <c r="N18" s="20"/>
      <c r="O18" s="4"/>
      <c r="P18" s="4"/>
      <c r="Q18" s="4"/>
      <c r="R18" s="4"/>
      <c r="S18" s="4"/>
      <c r="T18" s="4"/>
      <c r="U18" s="4"/>
      <c r="V18" s="21"/>
      <c r="W18" s="4"/>
      <c r="X18" s="4"/>
      <c r="Y18" s="4"/>
      <c r="Z18" s="4"/>
      <c r="AA18" s="4"/>
      <c r="AB18" s="4"/>
      <c r="AC18" s="4"/>
      <c r="AD18" s="21"/>
      <c r="AE18" s="23"/>
      <c r="AF18" s="23"/>
      <c r="AG18" s="23"/>
      <c r="AH18" s="20"/>
    </row>
    <row r="19" spans="1:34" ht="18.600000000000001" customHeight="1" x14ac:dyDescent="0.3">
      <c r="A19" s="19">
        <v>14</v>
      </c>
      <c r="B19" s="5" t="s">
        <v>104</v>
      </c>
      <c r="C19" s="23"/>
      <c r="D19" s="23"/>
      <c r="E19" s="23"/>
      <c r="F19" s="4"/>
      <c r="G19" s="21"/>
      <c r="H19" s="4"/>
      <c r="I19" s="21"/>
      <c r="J19" s="4"/>
      <c r="K19" s="4"/>
      <c r="L19" s="21"/>
      <c r="M19" s="20"/>
      <c r="N19" s="20"/>
      <c r="O19" s="4"/>
      <c r="P19" s="4"/>
      <c r="Q19" s="4"/>
      <c r="R19" s="4"/>
      <c r="S19" s="4"/>
      <c r="T19" s="4"/>
      <c r="U19" s="4"/>
      <c r="V19" s="21"/>
      <c r="W19" s="4"/>
      <c r="X19" s="4"/>
      <c r="Y19" s="4"/>
      <c r="Z19" s="4"/>
      <c r="AA19" s="4"/>
      <c r="AB19" s="4"/>
      <c r="AC19" s="4"/>
      <c r="AD19" s="21"/>
      <c r="AE19" s="23"/>
      <c r="AF19" s="23"/>
      <c r="AG19" s="23"/>
      <c r="AH19" s="20"/>
    </row>
    <row r="20" spans="1:34" ht="18.600000000000001" customHeight="1" x14ac:dyDescent="0.3">
      <c r="A20" s="3">
        <v>15</v>
      </c>
      <c r="B20" s="5" t="s">
        <v>105</v>
      </c>
      <c r="C20" s="23"/>
      <c r="D20" s="23"/>
      <c r="E20" s="23"/>
      <c r="F20" s="4"/>
      <c r="G20" s="21"/>
      <c r="H20" s="4"/>
      <c r="I20" s="21"/>
      <c r="J20" s="4"/>
      <c r="K20" s="4"/>
      <c r="L20" s="21"/>
      <c r="M20" s="20"/>
      <c r="N20" s="20"/>
      <c r="O20" s="4"/>
      <c r="P20" s="4"/>
      <c r="Q20" s="4"/>
      <c r="R20" s="4"/>
      <c r="S20" s="4"/>
      <c r="T20" s="4"/>
      <c r="U20" s="4"/>
      <c r="V20" s="21"/>
      <c r="W20" s="4"/>
      <c r="X20" s="4"/>
      <c r="Y20" s="4"/>
      <c r="Z20" s="4"/>
      <c r="AA20" s="4"/>
      <c r="AB20" s="4"/>
      <c r="AC20" s="4"/>
      <c r="AD20" s="21"/>
      <c r="AE20" s="23"/>
      <c r="AF20" s="23"/>
      <c r="AG20" s="23"/>
      <c r="AH20" s="20"/>
    </row>
    <row r="21" spans="1:34" ht="18.600000000000001" customHeight="1" x14ac:dyDescent="0.3">
      <c r="A21" s="17">
        <v>16</v>
      </c>
      <c r="B21" s="5" t="s">
        <v>106</v>
      </c>
      <c r="C21" s="23"/>
      <c r="D21" s="23"/>
      <c r="E21" s="23"/>
      <c r="F21" s="4"/>
      <c r="G21" s="21"/>
      <c r="H21" s="4"/>
      <c r="I21" s="21"/>
      <c r="J21" s="4"/>
      <c r="K21" s="4"/>
      <c r="L21" s="21"/>
      <c r="M21" s="20"/>
      <c r="N21" s="20"/>
      <c r="O21" s="4"/>
      <c r="P21" s="4"/>
      <c r="Q21" s="4"/>
      <c r="R21" s="4"/>
      <c r="S21" s="4"/>
      <c r="T21" s="4"/>
      <c r="U21" s="4"/>
      <c r="V21" s="21"/>
      <c r="W21" s="4"/>
      <c r="X21" s="4"/>
      <c r="Y21" s="4"/>
      <c r="Z21" s="4"/>
      <c r="AA21" s="4"/>
      <c r="AB21" s="4"/>
      <c r="AC21" s="4"/>
      <c r="AD21" s="21"/>
      <c r="AE21" s="23"/>
      <c r="AF21" s="23"/>
      <c r="AG21" s="23"/>
      <c r="AH21" s="20"/>
    </row>
    <row r="22" spans="1:34" ht="18.600000000000001" customHeight="1" x14ac:dyDescent="0.3">
      <c r="A22" s="19">
        <v>17</v>
      </c>
      <c r="B22" s="5" t="s">
        <v>107</v>
      </c>
      <c r="C22" s="23"/>
      <c r="D22" s="23"/>
      <c r="E22" s="23"/>
      <c r="F22" s="4"/>
      <c r="G22" s="21"/>
      <c r="H22" s="4"/>
      <c r="I22" s="21"/>
      <c r="J22" s="4"/>
      <c r="K22" s="4"/>
      <c r="L22" s="21"/>
      <c r="M22" s="20"/>
      <c r="N22" s="20"/>
      <c r="O22" s="4"/>
      <c r="P22" s="4"/>
      <c r="Q22" s="4"/>
      <c r="R22" s="4"/>
      <c r="S22" s="4"/>
      <c r="T22" s="4"/>
      <c r="U22" s="4"/>
      <c r="V22" s="21"/>
      <c r="W22" s="4"/>
      <c r="X22" s="4"/>
      <c r="Y22" s="4"/>
      <c r="Z22" s="4"/>
      <c r="AA22" s="4"/>
      <c r="AB22" s="4"/>
      <c r="AC22" s="4"/>
      <c r="AD22" s="21"/>
      <c r="AE22" s="23"/>
      <c r="AF22" s="23"/>
      <c r="AG22" s="23"/>
      <c r="AH22" s="20"/>
    </row>
    <row r="23" spans="1:34" ht="18.600000000000001" customHeight="1" x14ac:dyDescent="0.3">
      <c r="A23" s="3">
        <v>18</v>
      </c>
      <c r="B23" s="5" t="s">
        <v>440</v>
      </c>
      <c r="C23" s="23"/>
      <c r="D23" s="23"/>
      <c r="E23" s="23"/>
      <c r="F23" s="4"/>
      <c r="G23" s="21"/>
      <c r="H23" s="4"/>
      <c r="I23" s="21"/>
      <c r="J23" s="4"/>
      <c r="K23" s="4"/>
      <c r="L23" s="21"/>
      <c r="M23" s="20"/>
      <c r="N23" s="20"/>
      <c r="O23" s="4"/>
      <c r="P23" s="4"/>
      <c r="Q23" s="4"/>
      <c r="R23" s="4"/>
      <c r="S23" s="4"/>
      <c r="T23" s="4"/>
      <c r="U23" s="4"/>
      <c r="V23" s="21"/>
      <c r="W23" s="4"/>
      <c r="X23" s="4"/>
      <c r="Y23" s="4"/>
      <c r="Z23" s="4"/>
      <c r="AA23" s="4"/>
      <c r="AB23" s="4"/>
      <c r="AC23" s="4"/>
      <c r="AD23" s="21"/>
      <c r="AE23" s="23"/>
      <c r="AF23" s="23"/>
      <c r="AG23" s="23"/>
      <c r="AH23" s="20"/>
    </row>
    <row r="24" spans="1:34" ht="18.600000000000001" customHeight="1" x14ac:dyDescent="0.3">
      <c r="A24" s="17">
        <v>19</v>
      </c>
      <c r="B24" s="5" t="s">
        <v>109</v>
      </c>
      <c r="C24" s="23"/>
      <c r="D24" s="23"/>
      <c r="E24" s="23"/>
      <c r="F24" s="4"/>
      <c r="G24" s="21"/>
      <c r="H24" s="4"/>
      <c r="I24" s="21"/>
      <c r="J24" s="4"/>
      <c r="K24" s="4"/>
      <c r="L24" s="21"/>
      <c r="M24" s="20"/>
      <c r="N24" s="20"/>
      <c r="O24" s="4"/>
      <c r="P24" s="4"/>
      <c r="Q24" s="4"/>
      <c r="R24" s="4"/>
      <c r="S24" s="4"/>
      <c r="T24" s="4"/>
      <c r="U24" s="4"/>
      <c r="V24" s="21"/>
      <c r="W24" s="4"/>
      <c r="X24" s="4"/>
      <c r="Y24" s="4"/>
      <c r="Z24" s="4"/>
      <c r="AA24" s="4"/>
      <c r="AB24" s="4"/>
      <c r="AC24" s="4"/>
      <c r="AD24" s="21"/>
      <c r="AE24" s="23"/>
      <c r="AF24" s="23"/>
      <c r="AG24" s="23"/>
      <c r="AH24" s="20"/>
    </row>
    <row r="25" spans="1:34" ht="18.600000000000001" customHeight="1" x14ac:dyDescent="0.3">
      <c r="A25" s="19">
        <v>20</v>
      </c>
      <c r="B25" s="37" t="s">
        <v>110</v>
      </c>
      <c r="C25" s="23"/>
      <c r="D25" s="23"/>
      <c r="E25" s="23"/>
      <c r="F25" s="4"/>
      <c r="G25" s="21"/>
      <c r="H25" s="4"/>
      <c r="I25" s="21"/>
      <c r="J25" s="4"/>
      <c r="K25" s="4"/>
      <c r="L25" s="21"/>
      <c r="M25" s="20"/>
      <c r="N25" s="20"/>
      <c r="O25" s="4"/>
      <c r="P25" s="4"/>
      <c r="Q25" s="4"/>
      <c r="R25" s="4"/>
      <c r="S25" s="4"/>
      <c r="T25" s="4"/>
      <c r="U25" s="4"/>
      <c r="V25" s="21"/>
      <c r="W25" s="4"/>
      <c r="X25" s="4"/>
      <c r="Y25" s="4"/>
      <c r="Z25" s="4"/>
      <c r="AA25" s="4"/>
      <c r="AB25" s="4"/>
      <c r="AC25" s="4"/>
      <c r="AD25" s="21"/>
      <c r="AE25" s="23"/>
      <c r="AF25" s="23"/>
      <c r="AG25" s="23"/>
      <c r="AH25" s="20"/>
    </row>
    <row r="26" spans="1:34" ht="18.600000000000001" customHeight="1" x14ac:dyDescent="0.3">
      <c r="A26" s="3">
        <v>21</v>
      </c>
      <c r="B26" s="5" t="s">
        <v>111</v>
      </c>
      <c r="C26" s="23"/>
      <c r="D26" s="23"/>
      <c r="E26" s="23"/>
      <c r="F26" s="4"/>
      <c r="G26" s="21"/>
      <c r="H26" s="4"/>
      <c r="I26" s="21"/>
      <c r="J26" s="4"/>
      <c r="K26" s="4"/>
      <c r="L26" s="21"/>
      <c r="M26" s="20"/>
      <c r="N26" s="20"/>
      <c r="O26" s="4"/>
      <c r="P26" s="4"/>
      <c r="Q26" s="4"/>
      <c r="R26" s="4"/>
      <c r="S26" s="4"/>
      <c r="T26" s="4"/>
      <c r="U26" s="4"/>
      <c r="V26" s="21"/>
      <c r="W26" s="4"/>
      <c r="X26" s="4"/>
      <c r="Y26" s="4"/>
      <c r="Z26" s="4"/>
      <c r="AA26" s="4"/>
      <c r="AB26" s="4"/>
      <c r="AC26" s="4"/>
      <c r="AD26" s="21"/>
      <c r="AE26" s="23"/>
      <c r="AF26" s="23"/>
      <c r="AG26" s="23"/>
      <c r="AH26" s="20"/>
    </row>
    <row r="27" spans="1:34" ht="18.600000000000001" customHeight="1" x14ac:dyDescent="0.3">
      <c r="A27" s="17">
        <v>22</v>
      </c>
      <c r="B27" s="121" t="s">
        <v>112</v>
      </c>
      <c r="C27" s="23"/>
      <c r="D27" s="23"/>
      <c r="E27" s="23"/>
      <c r="F27" s="4"/>
      <c r="G27" s="21"/>
      <c r="H27" s="4"/>
      <c r="I27" s="21"/>
      <c r="J27" s="4"/>
      <c r="K27" s="4"/>
      <c r="L27" s="21"/>
      <c r="M27" s="20"/>
      <c r="N27" s="20"/>
      <c r="O27" s="4"/>
      <c r="P27" s="4"/>
      <c r="Q27" s="4"/>
      <c r="R27" s="4"/>
      <c r="S27" s="4"/>
      <c r="T27" s="4"/>
      <c r="U27" s="4"/>
      <c r="V27" s="21"/>
      <c r="W27" s="4"/>
      <c r="X27" s="4"/>
      <c r="Y27" s="4"/>
      <c r="Z27" s="4"/>
      <c r="AA27" s="4"/>
      <c r="AB27" s="4"/>
      <c r="AC27" s="4"/>
      <c r="AD27" s="21"/>
      <c r="AE27" s="23"/>
      <c r="AF27" s="23"/>
      <c r="AG27" s="23"/>
      <c r="AH27" s="20"/>
    </row>
    <row r="28" spans="1:34" ht="18.600000000000001" customHeight="1" x14ac:dyDescent="0.3">
      <c r="A28" s="19">
        <v>23</v>
      </c>
      <c r="B28" s="5" t="s">
        <v>441</v>
      </c>
      <c r="C28" s="23"/>
      <c r="D28" s="23"/>
      <c r="E28" s="23"/>
      <c r="F28" s="4"/>
      <c r="G28" s="21"/>
      <c r="H28" s="4"/>
      <c r="I28" s="21"/>
      <c r="J28" s="4"/>
      <c r="K28" s="4"/>
      <c r="L28" s="21"/>
      <c r="M28" s="20"/>
      <c r="N28" s="20"/>
      <c r="O28" s="4"/>
      <c r="P28" s="4"/>
      <c r="Q28" s="4"/>
      <c r="R28" s="4"/>
      <c r="S28" s="4"/>
      <c r="T28" s="4"/>
      <c r="U28" s="4"/>
      <c r="V28" s="21"/>
      <c r="W28" s="4"/>
      <c r="X28" s="4"/>
      <c r="Y28" s="4"/>
      <c r="Z28" s="4"/>
      <c r="AA28" s="4"/>
      <c r="AB28" s="4"/>
      <c r="AC28" s="4"/>
      <c r="AD28" s="21"/>
      <c r="AE28" s="23"/>
      <c r="AF28" s="23"/>
      <c r="AG28" s="23"/>
      <c r="AH28" s="20"/>
    </row>
    <row r="29" spans="1:34" ht="18.600000000000001" customHeight="1" x14ac:dyDescent="0.3">
      <c r="A29" s="3">
        <v>24</v>
      </c>
      <c r="B29" s="5" t="s">
        <v>113</v>
      </c>
      <c r="C29" s="23"/>
      <c r="D29" s="23"/>
      <c r="E29" s="23"/>
      <c r="F29" s="4"/>
      <c r="G29" s="21"/>
      <c r="H29" s="4"/>
      <c r="I29" s="21"/>
      <c r="J29" s="4"/>
      <c r="K29" s="4"/>
      <c r="L29" s="21"/>
      <c r="M29" s="20"/>
      <c r="N29" s="20"/>
      <c r="O29" s="4"/>
      <c r="P29" s="4"/>
      <c r="Q29" s="4"/>
      <c r="R29" s="4"/>
      <c r="S29" s="4"/>
      <c r="T29" s="4"/>
      <c r="U29" s="4"/>
      <c r="V29" s="21"/>
      <c r="W29" s="4"/>
      <c r="X29" s="4"/>
      <c r="Y29" s="4"/>
      <c r="Z29" s="4"/>
      <c r="AA29" s="4"/>
      <c r="AB29" s="4"/>
      <c r="AC29" s="4"/>
      <c r="AD29" s="21"/>
      <c r="AE29" s="23"/>
      <c r="AF29" s="23"/>
      <c r="AG29" s="23"/>
      <c r="AH29" s="20"/>
    </row>
    <row r="30" spans="1:34" ht="18.600000000000001" customHeight="1" x14ac:dyDescent="0.3">
      <c r="A30" s="17">
        <v>25</v>
      </c>
      <c r="B30" s="5" t="s">
        <v>114</v>
      </c>
      <c r="C30" s="23"/>
      <c r="D30" s="23"/>
      <c r="E30" s="23"/>
      <c r="F30" s="4"/>
      <c r="G30" s="21"/>
      <c r="H30" s="4"/>
      <c r="I30" s="21"/>
      <c r="J30" s="4"/>
      <c r="K30" s="4"/>
      <c r="L30" s="21"/>
      <c r="M30" s="20"/>
      <c r="N30" s="20"/>
      <c r="O30" s="4"/>
      <c r="P30" s="4"/>
      <c r="Q30" s="4"/>
      <c r="R30" s="4"/>
      <c r="S30" s="4"/>
      <c r="T30" s="4"/>
      <c r="U30" s="4"/>
      <c r="V30" s="21"/>
      <c r="W30" s="4"/>
      <c r="X30" s="4"/>
      <c r="Y30" s="4"/>
      <c r="Z30" s="4"/>
      <c r="AA30" s="4"/>
      <c r="AB30" s="4"/>
      <c r="AC30" s="4"/>
      <c r="AD30" s="21"/>
      <c r="AE30" s="23"/>
      <c r="AF30" s="23"/>
      <c r="AG30" s="23"/>
      <c r="AH30" s="20"/>
    </row>
    <row r="31" spans="1:34" ht="20.399999999999999" x14ac:dyDescent="0.3">
      <c r="A31" s="189">
        <v>26</v>
      </c>
      <c r="B31" s="5" t="s">
        <v>116</v>
      </c>
      <c r="C31" s="23"/>
      <c r="D31" s="23"/>
      <c r="E31" s="23"/>
      <c r="F31" s="23"/>
      <c r="G31" s="23"/>
      <c r="H31" s="4"/>
      <c r="I31" s="21"/>
      <c r="J31" s="23"/>
      <c r="K31" s="23"/>
      <c r="L31" s="23"/>
      <c r="M31" s="20"/>
      <c r="N31" s="23"/>
      <c r="O31" s="23"/>
      <c r="P31" s="23"/>
      <c r="Q31" s="4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 ht="20.399999999999999" x14ac:dyDescent="0.3">
      <c r="A32" s="189">
        <v>27</v>
      </c>
      <c r="B32" s="5" t="s">
        <v>117</v>
      </c>
      <c r="C32" s="23"/>
      <c r="D32" s="23"/>
      <c r="E32" s="23"/>
      <c r="F32" s="23"/>
      <c r="G32" s="23"/>
      <c r="H32" s="4"/>
      <c r="I32" s="21"/>
      <c r="J32" s="23"/>
      <c r="K32" s="23"/>
      <c r="L32" s="23"/>
      <c r="M32" s="20"/>
      <c r="N32" s="23"/>
      <c r="O32" s="23"/>
      <c r="P32" s="23"/>
      <c r="Q32" s="4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 ht="20.399999999999999" x14ac:dyDescent="0.3">
      <c r="A33" s="189">
        <v>28</v>
      </c>
      <c r="B33" s="5" t="s">
        <v>118</v>
      </c>
      <c r="C33" s="133"/>
      <c r="D33" s="133"/>
      <c r="E33" s="133"/>
      <c r="F33" s="4"/>
      <c r="G33" s="21"/>
      <c r="H33" s="4"/>
      <c r="I33" s="21"/>
      <c r="J33" s="4"/>
      <c r="K33" s="4"/>
      <c r="L33" s="23"/>
      <c r="M33" s="20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 ht="20.399999999999999" x14ac:dyDescent="0.3">
      <c r="A34" s="694">
        <v>29</v>
      </c>
      <c r="B34" s="5" t="s">
        <v>119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</sheetData>
  <sortState ref="B6:B30">
    <sortCondition ref="B6"/>
  </sortState>
  <mergeCells count="5">
    <mergeCell ref="A1:AH1"/>
    <mergeCell ref="A2:B5"/>
    <mergeCell ref="C2:M2"/>
    <mergeCell ref="N2:X2"/>
    <mergeCell ref="Y2:AH2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1"/>
  <sheetViews>
    <sheetView zoomScale="70" zoomScaleNormal="70" workbookViewId="0">
      <selection activeCell="B1" sqref="B1:L1"/>
    </sheetView>
  </sheetViews>
  <sheetFormatPr baseColWidth="10" defaultRowHeight="21" x14ac:dyDescent="0.4"/>
  <cols>
    <col min="1" max="1" width="3.77734375" customWidth="1"/>
    <col min="2" max="2" width="26.44140625" style="32" customWidth="1"/>
    <col min="3" max="3" width="8.6640625" style="31" customWidth="1"/>
    <col min="6" max="7" width="5.6640625" customWidth="1"/>
    <col min="8" max="8" width="8.88671875" style="83" customWidth="1"/>
    <col min="12" max="12" width="15.6640625" customWidth="1"/>
  </cols>
  <sheetData>
    <row r="1" spans="1:15" ht="21" customHeight="1" x14ac:dyDescent="0.45">
      <c r="B1" s="818" t="s">
        <v>471</v>
      </c>
      <c r="C1" s="818"/>
      <c r="D1" s="818"/>
      <c r="E1" s="818"/>
      <c r="F1" s="818"/>
      <c r="G1" s="818"/>
      <c r="H1" s="818"/>
      <c r="I1" s="818"/>
      <c r="J1" s="818"/>
      <c r="K1" s="818"/>
      <c r="L1" s="818"/>
    </row>
    <row r="2" spans="1:15" ht="42" customHeight="1" x14ac:dyDescent="0.3">
      <c r="A2" s="131"/>
      <c r="B2" s="131" t="s">
        <v>123</v>
      </c>
      <c r="C2" s="118"/>
      <c r="D2" s="274"/>
      <c r="E2" s="819"/>
      <c r="F2" s="820"/>
      <c r="G2" s="821"/>
      <c r="H2" s="701"/>
      <c r="I2" s="702"/>
      <c r="J2" s="703"/>
      <c r="K2" s="704"/>
      <c r="L2" s="702"/>
    </row>
    <row r="3" spans="1:15" ht="26.4" customHeight="1" x14ac:dyDescent="0.4">
      <c r="A3" s="28">
        <v>1</v>
      </c>
      <c r="B3" s="109" t="s">
        <v>436</v>
      </c>
      <c r="C3" s="123"/>
      <c r="D3" s="124"/>
      <c r="E3" s="4"/>
      <c r="F3" s="3"/>
      <c r="G3" s="3"/>
      <c r="H3" s="560"/>
      <c r="I3" s="125"/>
      <c r="J3" s="125"/>
      <c r="K3" s="126"/>
      <c r="L3" s="127"/>
    </row>
    <row r="4" spans="1:15" ht="26.4" customHeight="1" x14ac:dyDescent="0.4">
      <c r="A4" s="29">
        <v>2</v>
      </c>
      <c r="B4" s="109" t="s">
        <v>65</v>
      </c>
      <c r="C4" s="123"/>
      <c r="D4" s="128"/>
      <c r="E4" s="4"/>
      <c r="F4" s="3"/>
      <c r="G4" s="3"/>
      <c r="H4" s="566"/>
      <c r="I4" s="118"/>
      <c r="J4" s="705"/>
      <c r="K4" s="126"/>
      <c r="L4" s="127"/>
    </row>
    <row r="5" spans="1:15" ht="26.4" customHeight="1" x14ac:dyDescent="0.4">
      <c r="A5" s="30">
        <v>3</v>
      </c>
      <c r="B5" s="110" t="s">
        <v>66</v>
      </c>
      <c r="C5" s="123"/>
      <c r="D5" s="129"/>
      <c r="E5" s="4"/>
      <c r="F5" s="3"/>
      <c r="G5" s="3"/>
      <c r="H5" s="560"/>
      <c r="I5" s="589"/>
      <c r="J5" s="125"/>
      <c r="K5" s="126"/>
      <c r="L5" s="127"/>
    </row>
    <row r="6" spans="1:15" ht="26.4" customHeight="1" x14ac:dyDescent="0.4">
      <c r="A6" s="28">
        <v>4</v>
      </c>
      <c r="B6" s="109" t="s">
        <v>67</v>
      </c>
      <c r="C6" s="123"/>
      <c r="D6" s="124"/>
      <c r="E6" s="4"/>
      <c r="F6" s="3"/>
      <c r="G6" s="3"/>
      <c r="H6" s="566"/>
      <c r="I6" s="589"/>
      <c r="J6" s="125"/>
      <c r="K6" s="126"/>
      <c r="L6" s="127"/>
    </row>
    <row r="7" spans="1:15" ht="26.4" customHeight="1" x14ac:dyDescent="0.4">
      <c r="A7" s="29">
        <v>5</v>
      </c>
      <c r="B7" s="110" t="s">
        <v>68</v>
      </c>
      <c r="C7" s="123"/>
      <c r="D7" s="128"/>
      <c r="E7" s="4"/>
      <c r="F7" s="3"/>
      <c r="G7" s="3"/>
      <c r="H7" s="560"/>
      <c r="I7" s="589"/>
      <c r="J7" s="125"/>
      <c r="K7" s="126"/>
      <c r="L7" s="127"/>
    </row>
    <row r="8" spans="1:15" ht="26.4" customHeight="1" x14ac:dyDescent="0.4">
      <c r="A8" s="30">
        <v>6</v>
      </c>
      <c r="B8" s="109" t="s">
        <v>69</v>
      </c>
      <c r="C8" s="123"/>
      <c r="D8" s="128"/>
      <c r="E8" s="4"/>
      <c r="F8" s="3"/>
      <c r="G8" s="3"/>
      <c r="H8" s="560"/>
      <c r="I8" s="589"/>
      <c r="J8" s="125"/>
      <c r="K8" s="126"/>
      <c r="L8" s="127"/>
      <c r="O8" s="83"/>
    </row>
    <row r="9" spans="1:15" ht="26.4" customHeight="1" x14ac:dyDescent="0.4">
      <c r="A9" s="28">
        <v>7</v>
      </c>
      <c r="B9" s="109" t="s">
        <v>70</v>
      </c>
      <c r="C9" s="123"/>
      <c r="D9" s="128"/>
      <c r="E9" s="4"/>
      <c r="F9" s="3"/>
      <c r="G9" s="3"/>
      <c r="H9" s="566"/>
      <c r="I9" s="589"/>
      <c r="J9" s="125"/>
      <c r="K9" s="126"/>
      <c r="L9" s="127"/>
    </row>
    <row r="10" spans="1:15" ht="26.4" customHeight="1" x14ac:dyDescent="0.4">
      <c r="A10" s="29">
        <v>8</v>
      </c>
      <c r="B10" s="109" t="s">
        <v>71</v>
      </c>
      <c r="C10" s="123"/>
      <c r="D10" s="128"/>
      <c r="E10" s="4"/>
      <c r="F10" s="3"/>
      <c r="G10" s="3"/>
      <c r="H10" s="560"/>
      <c r="I10" s="589"/>
      <c r="J10" s="125"/>
      <c r="K10" s="126"/>
      <c r="L10" s="130"/>
    </row>
    <row r="11" spans="1:15" ht="26.4" customHeight="1" x14ac:dyDescent="0.4">
      <c r="A11" s="30">
        <v>9</v>
      </c>
      <c r="B11" s="109" t="s">
        <v>72</v>
      </c>
      <c r="C11" s="123"/>
      <c r="D11" s="128"/>
      <c r="E11" s="4"/>
      <c r="F11" s="3"/>
      <c r="G11" s="3"/>
      <c r="H11" s="566"/>
      <c r="I11" s="589"/>
      <c r="J11" s="125"/>
      <c r="K11" s="126"/>
      <c r="L11" s="127"/>
    </row>
    <row r="12" spans="1:15" ht="26.4" customHeight="1" x14ac:dyDescent="0.4">
      <c r="A12" s="28">
        <v>10</v>
      </c>
      <c r="B12" s="109" t="s">
        <v>73</v>
      </c>
      <c r="C12" s="123"/>
      <c r="D12" s="128"/>
      <c r="E12" s="4"/>
      <c r="F12" s="3"/>
      <c r="G12" s="3"/>
      <c r="H12" s="560"/>
      <c r="I12" s="125"/>
      <c r="J12" s="125"/>
      <c r="K12" s="126"/>
      <c r="L12" s="127"/>
    </row>
    <row r="13" spans="1:15" ht="26.4" customHeight="1" x14ac:dyDescent="0.4">
      <c r="A13" s="29">
        <v>11</v>
      </c>
      <c r="B13" s="109" t="s">
        <v>74</v>
      </c>
      <c r="C13" s="123"/>
      <c r="D13" s="128"/>
      <c r="E13" s="4"/>
      <c r="F13" s="3"/>
      <c r="G13" s="3"/>
      <c r="H13" s="560"/>
      <c r="I13" s="125"/>
      <c r="J13" s="125"/>
      <c r="K13" s="126"/>
      <c r="L13" s="127"/>
    </row>
    <row r="14" spans="1:15" ht="26.4" customHeight="1" x14ac:dyDescent="0.4">
      <c r="A14" s="30">
        <v>12</v>
      </c>
      <c r="B14" s="109" t="s">
        <v>75</v>
      </c>
      <c r="C14" s="123"/>
      <c r="D14" s="128"/>
      <c r="E14" s="4"/>
      <c r="F14" s="3"/>
      <c r="G14" s="3"/>
      <c r="H14" s="560"/>
      <c r="I14" s="125"/>
      <c r="J14" s="125"/>
      <c r="K14" s="126"/>
      <c r="L14" s="127"/>
    </row>
    <row r="15" spans="1:15" ht="26.4" customHeight="1" x14ac:dyDescent="0.4">
      <c r="A15" s="28">
        <v>13</v>
      </c>
      <c r="B15" s="109" t="s">
        <v>76</v>
      </c>
      <c r="C15" s="123"/>
      <c r="D15" s="128"/>
      <c r="E15" s="4"/>
      <c r="F15" s="3"/>
      <c r="G15" s="3"/>
      <c r="H15" s="560"/>
      <c r="I15" s="125"/>
      <c r="J15" s="125"/>
      <c r="K15" s="126"/>
      <c r="L15" s="127"/>
    </row>
    <row r="16" spans="1:15" ht="26.4" customHeight="1" x14ac:dyDescent="0.4">
      <c r="A16" s="29">
        <v>14</v>
      </c>
      <c r="B16" s="109" t="s">
        <v>77</v>
      </c>
      <c r="C16" s="123"/>
      <c r="D16" s="128"/>
      <c r="E16" s="4"/>
      <c r="F16" s="3"/>
      <c r="G16" s="3"/>
      <c r="H16" s="560"/>
      <c r="I16" s="125"/>
      <c r="J16" s="125"/>
      <c r="K16" s="126"/>
      <c r="L16" s="127"/>
    </row>
    <row r="17" spans="1:12" ht="26.4" customHeight="1" x14ac:dyDescent="0.4">
      <c r="A17" s="30">
        <v>15</v>
      </c>
      <c r="B17" s="109" t="s">
        <v>78</v>
      </c>
      <c r="C17" s="123"/>
      <c r="D17" s="128"/>
      <c r="E17" s="4"/>
      <c r="F17" s="3"/>
      <c r="G17" s="3"/>
      <c r="H17" s="560"/>
      <c r="I17" s="589"/>
      <c r="J17" s="125"/>
      <c r="K17" s="126"/>
      <c r="L17" s="127"/>
    </row>
    <row r="18" spans="1:12" ht="26.4" customHeight="1" x14ac:dyDescent="0.4">
      <c r="A18" s="28">
        <v>16</v>
      </c>
      <c r="B18" s="109" t="s">
        <v>79</v>
      </c>
      <c r="C18" s="123"/>
      <c r="D18" s="128"/>
      <c r="E18" s="4"/>
      <c r="F18" s="3"/>
      <c r="G18" s="3"/>
      <c r="H18" s="560"/>
      <c r="I18" s="588"/>
      <c r="J18" s="125"/>
      <c r="K18" s="126"/>
      <c r="L18" s="127"/>
    </row>
    <row r="19" spans="1:12" ht="26.4" customHeight="1" x14ac:dyDescent="0.4">
      <c r="A19" s="29">
        <v>17</v>
      </c>
      <c r="B19" s="109" t="s">
        <v>80</v>
      </c>
      <c r="C19" s="123"/>
      <c r="D19" s="128"/>
      <c r="E19" s="4"/>
      <c r="F19" s="3"/>
      <c r="G19" s="3"/>
      <c r="H19" s="560"/>
      <c r="I19" s="125"/>
      <c r="J19" s="125"/>
      <c r="K19" s="126"/>
      <c r="L19" s="127"/>
    </row>
    <row r="20" spans="1:12" ht="26.4" customHeight="1" x14ac:dyDescent="0.4">
      <c r="A20" s="30">
        <v>18</v>
      </c>
      <c r="B20" s="109" t="s">
        <v>91</v>
      </c>
      <c r="C20" s="123"/>
      <c r="D20" s="128"/>
      <c r="E20" s="4"/>
      <c r="F20" s="3"/>
      <c r="G20" s="3"/>
      <c r="H20" s="560"/>
      <c r="I20" s="588"/>
      <c r="J20" s="125"/>
      <c r="K20" s="126"/>
      <c r="L20" s="127"/>
    </row>
    <row r="21" spans="1:12" ht="26.4" customHeight="1" x14ac:dyDescent="0.4">
      <c r="A21" s="28">
        <v>19</v>
      </c>
      <c r="B21" s="109" t="s">
        <v>81</v>
      </c>
      <c r="C21" s="123"/>
      <c r="D21" s="128"/>
      <c r="E21" s="4"/>
      <c r="F21" s="3"/>
      <c r="G21" s="3"/>
      <c r="H21" s="560"/>
      <c r="I21" s="125"/>
      <c r="J21" s="125"/>
      <c r="K21" s="126"/>
      <c r="L21" s="127"/>
    </row>
    <row r="22" spans="1:12" ht="26.4" customHeight="1" x14ac:dyDescent="0.4">
      <c r="A22" s="29">
        <v>20</v>
      </c>
      <c r="B22" s="111" t="s">
        <v>82</v>
      </c>
      <c r="C22" s="123"/>
      <c r="D22" s="128"/>
      <c r="E22" s="4"/>
      <c r="F22" s="3"/>
      <c r="G22" s="3"/>
      <c r="H22" s="560"/>
      <c r="I22" s="578"/>
      <c r="J22" s="125"/>
      <c r="K22" s="126"/>
      <c r="L22" s="127"/>
    </row>
    <row r="23" spans="1:12" ht="26.4" customHeight="1" x14ac:dyDescent="0.4">
      <c r="A23" s="30">
        <v>21</v>
      </c>
      <c r="B23" s="109" t="s">
        <v>83</v>
      </c>
      <c r="C23" s="123"/>
      <c r="D23" s="128"/>
      <c r="E23" s="4"/>
      <c r="F23" s="3"/>
      <c r="G23" s="3"/>
      <c r="H23" s="560"/>
      <c r="I23" s="125"/>
      <c r="J23" s="125"/>
      <c r="K23" s="126"/>
      <c r="L23" s="127"/>
    </row>
    <row r="24" spans="1:12" ht="26.4" customHeight="1" x14ac:dyDescent="0.4">
      <c r="A24" s="28">
        <v>22</v>
      </c>
      <c r="B24" s="112" t="s">
        <v>84</v>
      </c>
      <c r="C24" s="123"/>
      <c r="D24" s="128"/>
      <c r="E24" s="4"/>
      <c r="F24" s="3"/>
      <c r="G24" s="3"/>
      <c r="H24" s="560"/>
      <c r="I24" s="589"/>
      <c r="J24" s="125"/>
      <c r="K24" s="126"/>
      <c r="L24" s="127"/>
    </row>
    <row r="25" spans="1:12" ht="26.4" customHeight="1" x14ac:dyDescent="0.4">
      <c r="A25" s="29">
        <v>23</v>
      </c>
      <c r="B25" s="109" t="s">
        <v>432</v>
      </c>
      <c r="C25" s="123"/>
      <c r="D25" s="128"/>
      <c r="E25" s="4"/>
      <c r="F25" s="3"/>
      <c r="G25" s="3"/>
      <c r="H25" s="560"/>
      <c r="I25" s="589"/>
      <c r="J25" s="125"/>
      <c r="K25" s="126"/>
      <c r="L25" s="127"/>
    </row>
    <row r="26" spans="1:12" ht="26.4" customHeight="1" x14ac:dyDescent="0.4">
      <c r="A26" s="30">
        <v>24</v>
      </c>
      <c r="B26" s="109" t="s">
        <v>85</v>
      </c>
      <c r="C26" s="123"/>
      <c r="D26" s="128"/>
      <c r="E26" s="4"/>
      <c r="F26" s="3"/>
      <c r="G26" s="3"/>
      <c r="H26" s="560"/>
      <c r="I26" s="589"/>
      <c r="J26" s="125"/>
      <c r="K26" s="126"/>
      <c r="L26" s="127"/>
    </row>
    <row r="27" spans="1:12" ht="26.4" customHeight="1" x14ac:dyDescent="0.4">
      <c r="A27" s="28">
        <v>25</v>
      </c>
      <c r="B27" s="109" t="s">
        <v>86</v>
      </c>
      <c r="C27" s="123"/>
      <c r="D27" s="128"/>
      <c r="E27" s="4"/>
      <c r="F27" s="3"/>
      <c r="G27" s="3"/>
      <c r="H27" s="560"/>
      <c r="I27" s="589"/>
      <c r="J27" s="125"/>
      <c r="K27" s="126"/>
      <c r="L27" s="127"/>
    </row>
    <row r="28" spans="1:12" x14ac:dyDescent="0.4">
      <c r="A28" s="17">
        <v>26</v>
      </c>
      <c r="B28" s="109" t="s">
        <v>88</v>
      </c>
      <c r="C28" s="123"/>
      <c r="D28" s="128"/>
      <c r="E28" s="128"/>
      <c r="F28" s="3"/>
      <c r="G28" s="3"/>
      <c r="H28" s="560"/>
      <c r="I28" s="128"/>
      <c r="J28" s="128"/>
      <c r="K28" s="128"/>
      <c r="L28" s="128"/>
    </row>
    <row r="29" spans="1:12" x14ac:dyDescent="0.4">
      <c r="A29" s="17">
        <v>27</v>
      </c>
      <c r="B29" s="109" t="s">
        <v>89</v>
      </c>
      <c r="C29" s="123"/>
      <c r="D29" s="128"/>
      <c r="E29" s="128"/>
      <c r="F29" s="3"/>
      <c r="G29" s="3"/>
      <c r="H29" s="560"/>
      <c r="I29" s="128"/>
      <c r="J29" s="128"/>
      <c r="K29" s="128"/>
      <c r="L29" s="128"/>
    </row>
    <row r="30" spans="1:12" ht="31.2" x14ac:dyDescent="0.6">
      <c r="A30" s="17">
        <v>28</v>
      </c>
      <c r="B30" s="109" t="s">
        <v>90</v>
      </c>
      <c r="C30" s="123"/>
      <c r="D30" s="128"/>
      <c r="E30" s="128"/>
      <c r="F30" s="3"/>
      <c r="G30" s="3"/>
      <c r="H30" s="560"/>
      <c r="I30" s="706"/>
      <c r="J30" s="128"/>
      <c r="K30" s="128"/>
      <c r="L30" s="128"/>
    </row>
    <row r="31" spans="1:12" x14ac:dyDescent="0.4">
      <c r="A31" s="23"/>
      <c r="B31" s="109" t="s">
        <v>121</v>
      </c>
      <c r="C31" s="123"/>
      <c r="D31" s="128"/>
      <c r="E31" s="128"/>
      <c r="F31" s="128"/>
      <c r="G31" s="128"/>
      <c r="H31" s="560"/>
      <c r="I31" s="128"/>
      <c r="J31" s="128"/>
      <c r="K31" s="128"/>
      <c r="L31" s="128"/>
    </row>
  </sheetData>
  <mergeCells count="2">
    <mergeCell ref="B1:L1"/>
    <mergeCell ref="E2:G2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33"/>
  <sheetViews>
    <sheetView workbookViewId="0">
      <selection activeCell="G15" sqref="G15"/>
    </sheetView>
  </sheetViews>
  <sheetFormatPr baseColWidth="10" defaultRowHeight="14.4" x14ac:dyDescent="0.3"/>
  <cols>
    <col min="1" max="1" width="5.77734375" customWidth="1"/>
    <col min="2" max="2" width="4.44140625" style="188" customWidth="1"/>
    <col min="3" max="3" width="36.5546875" customWidth="1"/>
  </cols>
  <sheetData>
    <row r="1" spans="2:5" ht="42.6" customHeight="1" x14ac:dyDescent="0.3"/>
    <row r="2" spans="2:5" ht="53.4" customHeight="1" x14ac:dyDescent="0.35">
      <c r="B2" s="825" t="s">
        <v>427</v>
      </c>
      <c r="C2" s="825"/>
      <c r="D2" s="825"/>
      <c r="E2" s="825"/>
    </row>
    <row r="3" spans="2:5" ht="12" customHeight="1" x14ac:dyDescent="0.3">
      <c r="B3" s="823" t="s">
        <v>36</v>
      </c>
      <c r="C3" s="822" t="s">
        <v>35</v>
      </c>
      <c r="D3" s="824" t="s">
        <v>37</v>
      </c>
      <c r="E3" s="824"/>
    </row>
    <row r="4" spans="2:5" ht="12" customHeight="1" x14ac:dyDescent="0.3">
      <c r="B4" s="823"/>
      <c r="C4" s="822"/>
      <c r="D4" s="10" t="s">
        <v>38</v>
      </c>
      <c r="E4" s="10" t="s">
        <v>39</v>
      </c>
    </row>
    <row r="5" spans="2:5" ht="13.8" customHeight="1" x14ac:dyDescent="0.3">
      <c r="B5" s="142">
        <v>1</v>
      </c>
      <c r="C5" s="109" t="s">
        <v>65</v>
      </c>
      <c r="D5" s="38" t="s">
        <v>40</v>
      </c>
      <c r="E5" s="38"/>
    </row>
    <row r="6" spans="2:5" ht="13.8" customHeight="1" x14ac:dyDescent="0.3">
      <c r="B6" s="187">
        <v>2</v>
      </c>
      <c r="C6" s="110" t="s">
        <v>66</v>
      </c>
      <c r="D6" s="38" t="s">
        <v>40</v>
      </c>
      <c r="E6" s="38"/>
    </row>
    <row r="7" spans="2:5" ht="13.8" customHeight="1" x14ac:dyDescent="0.3">
      <c r="B7" s="56">
        <v>3</v>
      </c>
      <c r="C7" s="109" t="s">
        <v>67</v>
      </c>
      <c r="D7" s="38" t="s">
        <v>40</v>
      </c>
      <c r="E7" s="38"/>
    </row>
    <row r="8" spans="2:5" ht="13.8" customHeight="1" x14ac:dyDescent="0.3">
      <c r="B8" s="142">
        <v>4</v>
      </c>
      <c r="C8" s="110" t="s">
        <v>68</v>
      </c>
      <c r="D8" s="38" t="s">
        <v>40</v>
      </c>
      <c r="E8" s="38"/>
    </row>
    <row r="9" spans="2:5" ht="13.8" customHeight="1" x14ac:dyDescent="0.3">
      <c r="B9" s="187">
        <v>5</v>
      </c>
      <c r="C9" s="109" t="s">
        <v>69</v>
      </c>
      <c r="D9" s="38" t="s">
        <v>40</v>
      </c>
      <c r="E9" s="38"/>
    </row>
    <row r="10" spans="2:5" ht="13.8" customHeight="1" x14ac:dyDescent="0.3">
      <c r="B10" s="56">
        <v>6</v>
      </c>
      <c r="C10" s="109" t="s">
        <v>70</v>
      </c>
      <c r="D10" s="38" t="s">
        <v>40</v>
      </c>
      <c r="E10" s="38"/>
    </row>
    <row r="11" spans="2:5" ht="13.8" customHeight="1" x14ac:dyDescent="0.3">
      <c r="B11" s="142">
        <v>7</v>
      </c>
      <c r="C11" s="109" t="s">
        <v>71</v>
      </c>
      <c r="D11" s="38" t="s">
        <v>40</v>
      </c>
      <c r="E11" s="38"/>
    </row>
    <row r="12" spans="2:5" ht="13.8" customHeight="1" x14ac:dyDescent="0.3">
      <c r="B12" s="187">
        <v>8</v>
      </c>
      <c r="C12" s="109" t="s">
        <v>72</v>
      </c>
      <c r="D12" s="38" t="s">
        <v>40</v>
      </c>
      <c r="E12" s="38"/>
    </row>
    <row r="13" spans="2:5" ht="13.8" customHeight="1" x14ac:dyDescent="0.3">
      <c r="B13" s="56">
        <v>9</v>
      </c>
      <c r="C13" s="109" t="s">
        <v>73</v>
      </c>
      <c r="D13" s="38" t="s">
        <v>40</v>
      </c>
      <c r="E13" s="38"/>
    </row>
    <row r="14" spans="2:5" ht="13.8" customHeight="1" x14ac:dyDescent="0.3">
      <c r="B14" s="142">
        <v>10</v>
      </c>
      <c r="C14" s="109" t="s">
        <v>74</v>
      </c>
      <c r="D14" s="38"/>
      <c r="E14" s="38"/>
    </row>
    <row r="15" spans="2:5" ht="13.8" customHeight="1" x14ac:dyDescent="0.3">
      <c r="B15" s="187">
        <v>11</v>
      </c>
      <c r="C15" s="109" t="s">
        <v>75</v>
      </c>
      <c r="D15" s="38" t="s">
        <v>40</v>
      </c>
      <c r="E15" s="38"/>
    </row>
    <row r="16" spans="2:5" ht="13.8" customHeight="1" x14ac:dyDescent="0.3">
      <c r="B16" s="56">
        <v>12</v>
      </c>
      <c r="C16" s="109" t="s">
        <v>76</v>
      </c>
      <c r="D16" s="38" t="s">
        <v>40</v>
      </c>
      <c r="E16" s="38"/>
    </row>
    <row r="17" spans="2:5" ht="13.8" customHeight="1" x14ac:dyDescent="0.3">
      <c r="B17" s="142">
        <v>13</v>
      </c>
      <c r="C17" s="109" t="s">
        <v>77</v>
      </c>
      <c r="D17" s="38" t="s">
        <v>40</v>
      </c>
      <c r="E17" s="38"/>
    </row>
    <row r="18" spans="2:5" ht="13.8" customHeight="1" x14ac:dyDescent="0.3">
      <c r="B18" s="187">
        <v>14</v>
      </c>
      <c r="C18" s="109" t="s">
        <v>78</v>
      </c>
      <c r="D18" s="38" t="s">
        <v>150</v>
      </c>
      <c r="E18" s="38"/>
    </row>
    <row r="19" spans="2:5" ht="13.8" customHeight="1" x14ac:dyDescent="0.3">
      <c r="B19" s="56">
        <v>15</v>
      </c>
      <c r="C19" s="109" t="s">
        <v>79</v>
      </c>
      <c r="D19" s="38"/>
      <c r="E19" s="38"/>
    </row>
    <row r="20" spans="2:5" ht="13.8" customHeight="1" x14ac:dyDescent="0.3">
      <c r="B20" s="142">
        <v>16</v>
      </c>
      <c r="C20" s="109" t="s">
        <v>80</v>
      </c>
      <c r="D20" s="38" t="s">
        <v>40</v>
      </c>
      <c r="E20" s="38"/>
    </row>
    <row r="21" spans="2:5" ht="13.8" customHeight="1" x14ac:dyDescent="0.3">
      <c r="B21" s="187">
        <v>17</v>
      </c>
      <c r="C21" s="109" t="s">
        <v>120</v>
      </c>
      <c r="D21" s="38" t="s">
        <v>40</v>
      </c>
      <c r="E21" s="38"/>
    </row>
    <row r="22" spans="2:5" ht="13.8" customHeight="1" x14ac:dyDescent="0.3">
      <c r="B22" s="56">
        <v>18</v>
      </c>
      <c r="C22" s="109" t="s">
        <v>81</v>
      </c>
      <c r="D22" s="38" t="s">
        <v>40</v>
      </c>
      <c r="E22" s="38"/>
    </row>
    <row r="23" spans="2:5" ht="13.8" customHeight="1" x14ac:dyDescent="0.3">
      <c r="B23" s="142">
        <v>19</v>
      </c>
      <c r="C23" s="111" t="s">
        <v>82</v>
      </c>
      <c r="D23" s="38" t="s">
        <v>40</v>
      </c>
      <c r="E23" s="38"/>
    </row>
    <row r="24" spans="2:5" ht="13.8" customHeight="1" x14ac:dyDescent="0.3">
      <c r="B24" s="187">
        <v>20</v>
      </c>
      <c r="C24" s="109" t="s">
        <v>83</v>
      </c>
      <c r="D24" s="38" t="s">
        <v>40</v>
      </c>
      <c r="E24" s="38"/>
    </row>
    <row r="25" spans="2:5" ht="13.8" customHeight="1" x14ac:dyDescent="0.3">
      <c r="B25" s="56">
        <v>21</v>
      </c>
      <c r="C25" s="112" t="s">
        <v>84</v>
      </c>
      <c r="D25" s="38" t="s">
        <v>40</v>
      </c>
      <c r="E25" s="38"/>
    </row>
    <row r="26" spans="2:5" ht="13.8" customHeight="1" x14ac:dyDescent="0.3">
      <c r="B26" s="142">
        <v>22</v>
      </c>
      <c r="C26" s="109" t="s">
        <v>85</v>
      </c>
      <c r="D26" s="38" t="s">
        <v>40</v>
      </c>
      <c r="E26" s="38"/>
    </row>
    <row r="27" spans="2:5" ht="13.8" customHeight="1" x14ac:dyDescent="0.3">
      <c r="B27" s="187">
        <v>23</v>
      </c>
      <c r="C27" s="109" t="s">
        <v>86</v>
      </c>
      <c r="D27" s="38" t="s">
        <v>40</v>
      </c>
      <c r="E27" s="38"/>
    </row>
    <row r="28" spans="2:5" ht="13.8" customHeight="1" x14ac:dyDescent="0.3">
      <c r="B28" s="56">
        <v>24</v>
      </c>
      <c r="C28" s="109" t="s">
        <v>87</v>
      </c>
      <c r="D28" s="38" t="s">
        <v>40</v>
      </c>
      <c r="E28" s="38"/>
    </row>
    <row r="29" spans="2:5" ht="13.8" customHeight="1" x14ac:dyDescent="0.3">
      <c r="B29" s="142">
        <v>25</v>
      </c>
      <c r="C29" s="109" t="s">
        <v>88</v>
      </c>
      <c r="D29" s="38" t="s">
        <v>40</v>
      </c>
      <c r="E29" s="38"/>
    </row>
    <row r="30" spans="2:5" x14ac:dyDescent="0.3">
      <c r="B30" s="107">
        <v>26</v>
      </c>
      <c r="C30" s="109" t="s">
        <v>89</v>
      </c>
      <c r="D30" s="189" t="s">
        <v>40</v>
      </c>
      <c r="E30" s="23"/>
    </row>
    <row r="31" spans="2:5" x14ac:dyDescent="0.3">
      <c r="B31" s="107">
        <v>27</v>
      </c>
      <c r="C31" s="109" t="s">
        <v>90</v>
      </c>
      <c r="D31" s="189" t="s">
        <v>40</v>
      </c>
      <c r="E31" s="23"/>
    </row>
    <row r="32" spans="2:5" x14ac:dyDescent="0.3">
      <c r="B32" s="107">
        <v>28</v>
      </c>
      <c r="C32" s="109" t="s">
        <v>121</v>
      </c>
      <c r="D32" s="189" t="s">
        <v>40</v>
      </c>
      <c r="E32" s="23"/>
    </row>
    <row r="33" spans="2:3" x14ac:dyDescent="0.3">
      <c r="B33" s="188">
        <v>29</v>
      </c>
      <c r="C33" s="289" t="s">
        <v>301</v>
      </c>
    </row>
  </sheetData>
  <mergeCells count="4">
    <mergeCell ref="C3:C4"/>
    <mergeCell ref="B3:B4"/>
    <mergeCell ref="D3:E3"/>
    <mergeCell ref="B2:E2"/>
  </mergeCells>
  <pageMargins left="0.70866141732283472" right="0.70866141732283472" top="0.19685039370078741" bottom="0.74803149606299213" header="0.31496062992125984" footer="0.31496062992125984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8"/>
  <sheetViews>
    <sheetView workbookViewId="0">
      <selection activeCell="B19" sqref="B19:B33"/>
    </sheetView>
  </sheetViews>
  <sheetFormatPr baseColWidth="10" defaultRowHeight="14.4" x14ac:dyDescent="0.3"/>
  <cols>
    <col min="1" max="1" width="5.21875" customWidth="1"/>
    <col min="2" max="2" width="32.77734375" customWidth="1"/>
    <col min="5" max="9" width="3" customWidth="1"/>
  </cols>
  <sheetData>
    <row r="1" spans="1:9" ht="18" x14ac:dyDescent="0.35">
      <c r="A1" s="825" t="s">
        <v>427</v>
      </c>
      <c r="B1" s="825"/>
      <c r="C1" s="825"/>
      <c r="D1" s="825"/>
    </row>
    <row r="2" spans="1:9" x14ac:dyDescent="0.3">
      <c r="A2" s="823" t="s">
        <v>36</v>
      </c>
      <c r="B2" s="822" t="s">
        <v>35</v>
      </c>
      <c r="C2" s="824" t="s">
        <v>428</v>
      </c>
      <c r="D2" s="824"/>
      <c r="E2" s="694" t="s">
        <v>50</v>
      </c>
      <c r="F2" s="694" t="s">
        <v>431</v>
      </c>
      <c r="G2" s="694" t="s">
        <v>431</v>
      </c>
      <c r="H2" s="694" t="s">
        <v>437</v>
      </c>
      <c r="I2" s="694" t="s">
        <v>438</v>
      </c>
    </row>
    <row r="3" spans="1:9" x14ac:dyDescent="0.3">
      <c r="A3" s="823"/>
      <c r="B3" s="822"/>
      <c r="C3" s="691" t="s">
        <v>429</v>
      </c>
      <c r="D3" s="691" t="s">
        <v>430</v>
      </c>
      <c r="E3" s="83"/>
      <c r="F3" s="83"/>
      <c r="G3" s="83"/>
      <c r="H3" s="83"/>
      <c r="I3" s="83"/>
    </row>
    <row r="4" spans="1:9" ht="12.6" customHeight="1" x14ac:dyDescent="0.3">
      <c r="A4" s="142">
        <v>1</v>
      </c>
      <c r="B4" s="109" t="s">
        <v>436</v>
      </c>
      <c r="C4" s="692"/>
      <c r="D4" s="692" t="s">
        <v>49</v>
      </c>
      <c r="E4" s="83" t="s">
        <v>11</v>
      </c>
      <c r="F4" s="83" t="s">
        <v>11</v>
      </c>
      <c r="G4" s="83"/>
      <c r="H4" s="83" t="s">
        <v>11</v>
      </c>
      <c r="I4" s="83" t="s">
        <v>11</v>
      </c>
    </row>
    <row r="5" spans="1:9" ht="12.6" customHeight="1" x14ac:dyDescent="0.3">
      <c r="A5" s="187">
        <v>2</v>
      </c>
      <c r="B5" s="109" t="s">
        <v>65</v>
      </c>
      <c r="C5" s="692"/>
      <c r="D5" s="692" t="s">
        <v>49</v>
      </c>
      <c r="E5" s="83" t="s">
        <v>11</v>
      </c>
      <c r="F5" s="83" t="s">
        <v>11</v>
      </c>
      <c r="G5" s="83"/>
      <c r="H5" s="83" t="s">
        <v>11</v>
      </c>
      <c r="I5" s="83" t="s">
        <v>11</v>
      </c>
    </row>
    <row r="6" spans="1:9" ht="12.6" customHeight="1" x14ac:dyDescent="0.3">
      <c r="A6" s="56">
        <v>3</v>
      </c>
      <c r="B6" s="110" t="s">
        <v>66</v>
      </c>
      <c r="C6" s="692" t="s">
        <v>431</v>
      </c>
      <c r="D6" s="692"/>
      <c r="E6" s="83" t="s">
        <v>11</v>
      </c>
      <c r="F6" s="83" t="s">
        <v>11</v>
      </c>
      <c r="G6" s="83"/>
      <c r="H6" s="83" t="s">
        <v>11</v>
      </c>
      <c r="I6" s="83" t="s">
        <v>11</v>
      </c>
    </row>
    <row r="7" spans="1:9" ht="12.6" customHeight="1" x14ac:dyDescent="0.3">
      <c r="A7" s="142">
        <v>4</v>
      </c>
      <c r="B7" s="109" t="s">
        <v>475</v>
      </c>
      <c r="C7" s="692"/>
      <c r="D7" s="692" t="s">
        <v>49</v>
      </c>
      <c r="E7" s="83" t="s">
        <v>11</v>
      </c>
      <c r="F7" s="83" t="s">
        <v>11</v>
      </c>
      <c r="G7" s="83"/>
      <c r="H7" s="83" t="s">
        <v>11</v>
      </c>
      <c r="I7" s="83" t="s">
        <v>11</v>
      </c>
    </row>
    <row r="8" spans="1:9" ht="12.6" customHeight="1" x14ac:dyDescent="0.3">
      <c r="A8" s="187">
        <v>5</v>
      </c>
      <c r="B8" s="109" t="s">
        <v>67</v>
      </c>
      <c r="C8" s="692" t="s">
        <v>431</v>
      </c>
      <c r="D8" s="692"/>
      <c r="E8" s="83" t="s">
        <v>11</v>
      </c>
      <c r="F8" s="83" t="s">
        <v>11</v>
      </c>
      <c r="G8" s="83"/>
      <c r="H8" s="83" t="s">
        <v>11</v>
      </c>
      <c r="I8" s="83" t="s">
        <v>11</v>
      </c>
    </row>
    <row r="9" spans="1:9" ht="12.6" customHeight="1" x14ac:dyDescent="0.3">
      <c r="A9" s="56">
        <v>6</v>
      </c>
      <c r="B9" s="110" t="s">
        <v>68</v>
      </c>
      <c r="C9" s="692" t="s">
        <v>431</v>
      </c>
      <c r="D9" s="692"/>
      <c r="E9" s="83" t="s">
        <v>11</v>
      </c>
      <c r="F9" s="83" t="s">
        <v>11</v>
      </c>
      <c r="G9" s="83"/>
      <c r="H9" s="83" t="s">
        <v>11</v>
      </c>
      <c r="I9" s="83" t="s">
        <v>11</v>
      </c>
    </row>
    <row r="10" spans="1:9" ht="12.6" customHeight="1" x14ac:dyDescent="0.3">
      <c r="A10" s="142">
        <v>7</v>
      </c>
      <c r="B10" s="109" t="s">
        <v>69</v>
      </c>
      <c r="C10" s="692"/>
      <c r="D10" s="692" t="s">
        <v>49</v>
      </c>
      <c r="E10" s="83" t="s">
        <v>11</v>
      </c>
      <c r="F10" s="83" t="s">
        <v>11</v>
      </c>
      <c r="G10" s="83"/>
      <c r="H10" s="83" t="s">
        <v>11</v>
      </c>
      <c r="I10" s="83" t="s">
        <v>11</v>
      </c>
    </row>
    <row r="11" spans="1:9" ht="12.6" customHeight="1" x14ac:dyDescent="0.3">
      <c r="A11" s="187">
        <v>8</v>
      </c>
      <c r="B11" s="109" t="s">
        <v>70</v>
      </c>
      <c r="C11" s="692" t="s">
        <v>431</v>
      </c>
      <c r="D11" s="692"/>
      <c r="E11" s="83" t="s">
        <v>11</v>
      </c>
      <c r="F11" s="83" t="s">
        <v>11</v>
      </c>
      <c r="G11" s="83"/>
      <c r="H11" s="83" t="s">
        <v>11</v>
      </c>
      <c r="I11" s="83" t="s">
        <v>11</v>
      </c>
    </row>
    <row r="12" spans="1:9" ht="12.6" customHeight="1" x14ac:dyDescent="0.3">
      <c r="A12" s="56">
        <v>9</v>
      </c>
      <c r="B12" s="109" t="s">
        <v>71</v>
      </c>
      <c r="C12" s="692"/>
      <c r="D12" s="692" t="s">
        <v>49</v>
      </c>
      <c r="E12" s="83" t="s">
        <v>11</v>
      </c>
      <c r="F12" s="83" t="s">
        <v>11</v>
      </c>
      <c r="G12" s="83"/>
      <c r="H12" s="83" t="s">
        <v>11</v>
      </c>
      <c r="I12" s="83" t="s">
        <v>11</v>
      </c>
    </row>
    <row r="13" spans="1:9" ht="12.6" customHeight="1" x14ac:dyDescent="0.3">
      <c r="A13" s="142">
        <v>10</v>
      </c>
      <c r="B13" s="109" t="s">
        <v>72</v>
      </c>
      <c r="C13" s="692" t="s">
        <v>431</v>
      </c>
      <c r="D13" s="692"/>
      <c r="E13" s="83" t="s">
        <v>11</v>
      </c>
      <c r="F13" s="83" t="s">
        <v>11</v>
      </c>
      <c r="G13" s="83"/>
      <c r="H13" s="83" t="s">
        <v>11</v>
      </c>
      <c r="I13" s="83" t="s">
        <v>11</v>
      </c>
    </row>
    <row r="14" spans="1:9" ht="12.6" customHeight="1" x14ac:dyDescent="0.3">
      <c r="A14" s="187">
        <v>11</v>
      </c>
      <c r="B14" s="109" t="s">
        <v>73</v>
      </c>
      <c r="C14" s="692"/>
      <c r="D14" s="692" t="s">
        <v>49</v>
      </c>
      <c r="E14" s="83" t="s">
        <v>11</v>
      </c>
      <c r="F14" s="83" t="s">
        <v>11</v>
      </c>
      <c r="G14" s="83"/>
      <c r="H14" s="83" t="s">
        <v>11</v>
      </c>
      <c r="I14" s="83" t="s">
        <v>11</v>
      </c>
    </row>
    <row r="15" spans="1:9" ht="12.6" customHeight="1" x14ac:dyDescent="0.3">
      <c r="A15" s="56">
        <v>12</v>
      </c>
      <c r="B15" s="109" t="s">
        <v>74</v>
      </c>
      <c r="C15" s="692" t="s">
        <v>431</v>
      </c>
      <c r="D15" s="692"/>
      <c r="E15" s="83" t="s">
        <v>11</v>
      </c>
      <c r="F15" s="83" t="s">
        <v>11</v>
      </c>
      <c r="G15" s="83"/>
      <c r="H15" s="83" t="s">
        <v>11</v>
      </c>
      <c r="I15" s="83" t="s">
        <v>11</v>
      </c>
    </row>
    <row r="16" spans="1:9" ht="12.6" customHeight="1" x14ac:dyDescent="0.3">
      <c r="A16" s="142">
        <v>13</v>
      </c>
      <c r="B16" s="109" t="s">
        <v>75</v>
      </c>
      <c r="C16" s="692" t="s">
        <v>431</v>
      </c>
      <c r="D16" s="692"/>
      <c r="E16" s="83" t="s">
        <v>49</v>
      </c>
      <c r="F16" s="83" t="s">
        <v>49</v>
      </c>
      <c r="G16" s="83"/>
      <c r="H16" s="83" t="s">
        <v>49</v>
      </c>
      <c r="I16" s="83" t="s">
        <v>49</v>
      </c>
    </row>
    <row r="17" spans="1:9" ht="12.6" customHeight="1" x14ac:dyDescent="0.3">
      <c r="A17" s="187">
        <v>14</v>
      </c>
      <c r="B17" s="109" t="s">
        <v>76</v>
      </c>
      <c r="C17" s="692" t="s">
        <v>431</v>
      </c>
      <c r="D17" s="692"/>
      <c r="E17" s="83" t="s">
        <v>11</v>
      </c>
      <c r="F17" s="83" t="s">
        <v>11</v>
      </c>
      <c r="G17" s="83"/>
      <c r="H17" s="83" t="s">
        <v>11</v>
      </c>
      <c r="I17" s="83" t="s">
        <v>11</v>
      </c>
    </row>
    <row r="18" spans="1:9" ht="12.6" customHeight="1" x14ac:dyDescent="0.3">
      <c r="A18" s="56">
        <v>15</v>
      </c>
      <c r="B18" s="109" t="s">
        <v>77</v>
      </c>
      <c r="C18" s="692" t="s">
        <v>431</v>
      </c>
      <c r="D18" s="692"/>
      <c r="E18" s="83" t="s">
        <v>11</v>
      </c>
      <c r="F18" s="83" t="s">
        <v>11</v>
      </c>
      <c r="G18" s="83"/>
      <c r="H18" s="83" t="s">
        <v>11</v>
      </c>
      <c r="I18" s="83" t="s">
        <v>11</v>
      </c>
    </row>
    <row r="19" spans="1:9" ht="12.6" customHeight="1" x14ac:dyDescent="0.3">
      <c r="A19" s="142">
        <v>16</v>
      </c>
      <c r="B19" s="109" t="s">
        <v>78</v>
      </c>
      <c r="C19" s="692" t="s">
        <v>431</v>
      </c>
      <c r="D19" s="692"/>
      <c r="E19" s="83" t="s">
        <v>11</v>
      </c>
      <c r="F19" s="83" t="s">
        <v>11</v>
      </c>
      <c r="G19" s="83"/>
      <c r="H19" s="83" t="s">
        <v>11</v>
      </c>
      <c r="I19" s="83" t="s">
        <v>49</v>
      </c>
    </row>
    <row r="20" spans="1:9" ht="12.6" customHeight="1" x14ac:dyDescent="0.3">
      <c r="A20" s="187">
        <v>17</v>
      </c>
      <c r="B20" s="109" t="s">
        <v>79</v>
      </c>
      <c r="C20" s="692" t="s">
        <v>431</v>
      </c>
      <c r="D20" s="692"/>
      <c r="E20" s="83" t="s">
        <v>11</v>
      </c>
      <c r="F20" s="83" t="s">
        <v>11</v>
      </c>
      <c r="G20" s="83"/>
      <c r="H20" s="83" t="s">
        <v>11</v>
      </c>
      <c r="I20" s="83" t="s">
        <v>11</v>
      </c>
    </row>
    <row r="21" spans="1:9" ht="12.6" customHeight="1" x14ac:dyDescent="0.3">
      <c r="A21" s="56">
        <v>18</v>
      </c>
      <c r="B21" s="109" t="s">
        <v>80</v>
      </c>
      <c r="C21" s="692"/>
      <c r="D21" s="693" t="s">
        <v>49</v>
      </c>
      <c r="E21" s="83" t="s">
        <v>11</v>
      </c>
      <c r="F21" s="83" t="s">
        <v>11</v>
      </c>
      <c r="G21" s="83"/>
      <c r="H21" s="83" t="s">
        <v>11</v>
      </c>
      <c r="I21" s="83" t="s">
        <v>11</v>
      </c>
    </row>
    <row r="22" spans="1:9" ht="12.6" customHeight="1" x14ac:dyDescent="0.3">
      <c r="A22" s="142">
        <v>19</v>
      </c>
      <c r="B22" s="109" t="s">
        <v>91</v>
      </c>
      <c r="C22" s="692"/>
      <c r="D22" s="693" t="s">
        <v>49</v>
      </c>
      <c r="E22" s="83" t="s">
        <v>11</v>
      </c>
      <c r="F22" s="83" t="s">
        <v>11</v>
      </c>
      <c r="G22" s="83"/>
      <c r="H22" s="83" t="s">
        <v>11</v>
      </c>
      <c r="I22" s="83" t="s">
        <v>11</v>
      </c>
    </row>
    <row r="23" spans="1:9" ht="12.6" customHeight="1" x14ac:dyDescent="0.3">
      <c r="A23" s="187">
        <v>20</v>
      </c>
      <c r="B23" s="109" t="s">
        <v>81</v>
      </c>
      <c r="C23" s="692" t="s">
        <v>431</v>
      </c>
      <c r="D23" s="693"/>
      <c r="E23" s="83" t="s">
        <v>11</v>
      </c>
      <c r="F23" s="83" t="s">
        <v>11</v>
      </c>
      <c r="G23" s="83"/>
      <c r="H23" s="83" t="s">
        <v>11</v>
      </c>
      <c r="I23" s="83" t="s">
        <v>11</v>
      </c>
    </row>
    <row r="24" spans="1:9" ht="12.6" customHeight="1" x14ac:dyDescent="0.3">
      <c r="A24" s="56">
        <v>21</v>
      </c>
      <c r="B24" s="111" t="s">
        <v>82</v>
      </c>
      <c r="C24" s="692" t="s">
        <v>431</v>
      </c>
      <c r="D24" s="693"/>
      <c r="E24" s="83" t="s">
        <v>11</v>
      </c>
      <c r="F24" s="83" t="s">
        <v>11</v>
      </c>
      <c r="G24" s="83"/>
      <c r="H24" s="83" t="s">
        <v>11</v>
      </c>
      <c r="I24" s="83" t="s">
        <v>11</v>
      </c>
    </row>
    <row r="25" spans="1:9" ht="12.6" customHeight="1" x14ac:dyDescent="0.3">
      <c r="A25" s="142">
        <v>22</v>
      </c>
      <c r="B25" s="109" t="s">
        <v>83</v>
      </c>
      <c r="C25" s="692"/>
      <c r="D25" s="693" t="s">
        <v>49</v>
      </c>
      <c r="E25" s="83" t="s">
        <v>11</v>
      </c>
      <c r="F25" s="83" t="s">
        <v>11</v>
      </c>
      <c r="G25" s="83"/>
      <c r="H25" s="83" t="s">
        <v>11</v>
      </c>
      <c r="I25" s="83" t="s">
        <v>11</v>
      </c>
    </row>
    <row r="26" spans="1:9" ht="12.6" customHeight="1" x14ac:dyDescent="0.3">
      <c r="A26" s="187">
        <v>23</v>
      </c>
      <c r="B26" s="112" t="s">
        <v>84</v>
      </c>
      <c r="C26" s="692"/>
      <c r="D26" s="693" t="s">
        <v>49</v>
      </c>
      <c r="E26" s="83" t="s">
        <v>11</v>
      </c>
      <c r="F26" s="83" t="s">
        <v>11</v>
      </c>
      <c r="G26" s="83"/>
      <c r="H26" s="83" t="s">
        <v>11</v>
      </c>
      <c r="I26" s="83" t="s">
        <v>49</v>
      </c>
    </row>
    <row r="27" spans="1:9" ht="12.6" customHeight="1" x14ac:dyDescent="0.3">
      <c r="A27" s="56">
        <v>24</v>
      </c>
      <c r="B27" s="109" t="s">
        <v>432</v>
      </c>
      <c r="C27" s="692"/>
      <c r="D27" s="693" t="s">
        <v>49</v>
      </c>
      <c r="E27" s="83" t="s">
        <v>11</v>
      </c>
      <c r="F27" s="83" t="s">
        <v>11</v>
      </c>
      <c r="G27" s="83"/>
      <c r="H27" s="83" t="s">
        <v>11</v>
      </c>
      <c r="I27" s="83" t="s">
        <v>11</v>
      </c>
    </row>
    <row r="28" spans="1:9" ht="12.6" customHeight="1" x14ac:dyDescent="0.3">
      <c r="A28" s="142">
        <v>25</v>
      </c>
      <c r="B28" s="109" t="s">
        <v>85</v>
      </c>
      <c r="C28" s="692" t="s">
        <v>431</v>
      </c>
      <c r="D28" s="693"/>
      <c r="E28" s="83" t="s">
        <v>11</v>
      </c>
      <c r="F28" s="83" t="s">
        <v>11</v>
      </c>
      <c r="G28" s="83"/>
      <c r="H28" s="83" t="s">
        <v>11</v>
      </c>
      <c r="I28" s="83" t="s">
        <v>11</v>
      </c>
    </row>
    <row r="29" spans="1:9" ht="12.6" customHeight="1" x14ac:dyDescent="0.3">
      <c r="A29" s="187">
        <v>26</v>
      </c>
      <c r="B29" s="109" t="s">
        <v>86</v>
      </c>
      <c r="C29" s="177"/>
      <c r="D29" s="693" t="s">
        <v>49</v>
      </c>
      <c r="E29" s="83" t="s">
        <v>11</v>
      </c>
      <c r="F29" s="83" t="s">
        <v>11</v>
      </c>
      <c r="G29" s="83"/>
      <c r="H29" s="83" t="s">
        <v>11</v>
      </c>
      <c r="I29" s="83" t="s">
        <v>11</v>
      </c>
    </row>
    <row r="30" spans="1:9" ht="12.6" customHeight="1" x14ac:dyDescent="0.3">
      <c r="A30" s="56">
        <v>27</v>
      </c>
      <c r="B30" s="109" t="s">
        <v>88</v>
      </c>
      <c r="C30" s="177"/>
      <c r="D30" s="693" t="s">
        <v>49</v>
      </c>
      <c r="E30" s="83" t="s">
        <v>49</v>
      </c>
      <c r="F30" s="83" t="s">
        <v>49</v>
      </c>
      <c r="G30" s="83"/>
      <c r="H30" s="83" t="s">
        <v>11</v>
      </c>
      <c r="I30" s="83" t="s">
        <v>11</v>
      </c>
    </row>
    <row r="31" spans="1:9" ht="12.6" customHeight="1" x14ac:dyDescent="0.3">
      <c r="A31" s="142">
        <v>28</v>
      </c>
      <c r="B31" s="109" t="s">
        <v>89</v>
      </c>
      <c r="C31" s="693" t="s">
        <v>431</v>
      </c>
      <c r="D31" s="693"/>
      <c r="E31" s="83" t="s">
        <v>11</v>
      </c>
      <c r="F31" s="83" t="s">
        <v>11</v>
      </c>
      <c r="G31" s="83"/>
      <c r="H31" s="83" t="s">
        <v>11</v>
      </c>
      <c r="I31" s="83" t="s">
        <v>11</v>
      </c>
    </row>
    <row r="32" spans="1:9" ht="12.6" customHeight="1" x14ac:dyDescent="0.3">
      <c r="A32" s="187">
        <v>29</v>
      </c>
      <c r="B32" s="109" t="s">
        <v>90</v>
      </c>
      <c r="C32" s="693"/>
      <c r="D32" s="693" t="s">
        <v>49</v>
      </c>
      <c r="E32" s="83" t="s">
        <v>11</v>
      </c>
      <c r="F32" s="83" t="s">
        <v>11</v>
      </c>
      <c r="G32" s="83"/>
      <c r="H32" s="83" t="s">
        <v>11</v>
      </c>
      <c r="I32" s="83" t="s">
        <v>11</v>
      </c>
    </row>
    <row r="33" spans="1:3" ht="12.6" customHeight="1" x14ac:dyDescent="0.3">
      <c r="A33" s="694">
        <v>30</v>
      </c>
      <c r="B33" s="289" t="s">
        <v>121</v>
      </c>
    </row>
    <row r="35" spans="1:3" ht="15.6" x14ac:dyDescent="0.3">
      <c r="B35" s="695" t="s">
        <v>433</v>
      </c>
      <c r="C35" s="17">
        <v>29</v>
      </c>
    </row>
    <row r="36" spans="1:3" ht="15.6" x14ac:dyDescent="0.3">
      <c r="B36" s="417"/>
      <c r="C36" s="17"/>
    </row>
    <row r="37" spans="1:3" ht="15.6" x14ac:dyDescent="0.3">
      <c r="B37" s="417" t="s">
        <v>434</v>
      </c>
      <c r="C37" s="17">
        <v>14</v>
      </c>
    </row>
    <row r="38" spans="1:3" ht="15.6" x14ac:dyDescent="0.3">
      <c r="B38" s="417" t="s">
        <v>435</v>
      </c>
      <c r="C38" s="17">
        <v>15</v>
      </c>
    </row>
  </sheetData>
  <sortState ref="B4:B33">
    <sortCondition ref="B4"/>
  </sortState>
  <mergeCells count="4">
    <mergeCell ref="A1:D1"/>
    <mergeCell ref="A2:A3"/>
    <mergeCell ref="B2:B3"/>
    <mergeCell ref="C2:D2"/>
  </mergeCells>
  <pageMargins left="1.299212598425197" right="0.70866141732283472" top="0.74803149606299213" bottom="0.74803149606299213" header="0.31496062992125984" footer="0.31496062992125984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33"/>
  <sheetViews>
    <sheetView topLeftCell="A27" workbookViewId="0">
      <selection activeCell="H39" sqref="H39"/>
    </sheetView>
  </sheetViews>
  <sheetFormatPr baseColWidth="10" defaultRowHeight="14.4" x14ac:dyDescent="0.3"/>
  <cols>
    <col min="1" max="1" width="3.21875" customWidth="1"/>
    <col min="2" max="2" width="22.21875" customWidth="1"/>
    <col min="3" max="3" width="3.21875" customWidth="1"/>
    <col min="4" max="12" width="3.109375" customWidth="1"/>
    <col min="13" max="14" width="4.109375" customWidth="1"/>
    <col min="15" max="38" width="3.109375" customWidth="1"/>
  </cols>
  <sheetData>
    <row r="1" spans="1:38" ht="21.6" thickBot="1" x14ac:dyDescent="0.45">
      <c r="A1" s="809" t="s">
        <v>128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09"/>
      <c r="O1" s="809"/>
      <c r="P1" s="809"/>
      <c r="Q1" s="809"/>
      <c r="R1" s="809"/>
      <c r="S1" s="809"/>
      <c r="T1" s="809"/>
      <c r="U1" s="809"/>
      <c r="V1" s="809"/>
      <c r="W1" s="809"/>
      <c r="X1" s="809"/>
      <c r="Y1" s="809"/>
      <c r="Z1" s="809"/>
      <c r="AA1" s="809"/>
      <c r="AB1" s="809"/>
      <c r="AC1" s="809"/>
      <c r="AD1" s="809"/>
      <c r="AE1" s="809"/>
      <c r="AF1" s="809"/>
      <c r="AG1" s="809"/>
      <c r="AH1" s="809"/>
      <c r="AI1" s="809"/>
      <c r="AJ1" s="809"/>
      <c r="AK1" s="809"/>
      <c r="AL1" s="809"/>
    </row>
    <row r="2" spans="1:38" ht="15" thickBot="1" x14ac:dyDescent="0.35">
      <c r="A2" s="802" t="s">
        <v>4</v>
      </c>
      <c r="B2" s="805" t="s">
        <v>5</v>
      </c>
      <c r="C2" s="807" t="s">
        <v>6</v>
      </c>
      <c r="D2" s="48">
        <v>1</v>
      </c>
      <c r="E2" s="49">
        <v>2</v>
      </c>
      <c r="F2" s="49">
        <v>3</v>
      </c>
      <c r="G2" s="48">
        <v>4</v>
      </c>
      <c r="H2" s="49">
        <v>5</v>
      </c>
      <c r="I2" s="49">
        <v>6</v>
      </c>
      <c r="J2" s="48">
        <v>7</v>
      </c>
      <c r="K2" s="49">
        <v>8</v>
      </c>
      <c r="L2" s="49">
        <v>9</v>
      </c>
      <c r="M2" s="48">
        <v>10</v>
      </c>
      <c r="N2" s="49">
        <v>11</v>
      </c>
      <c r="O2" s="49">
        <v>12</v>
      </c>
      <c r="P2" s="48">
        <v>13</v>
      </c>
      <c r="Q2" s="49">
        <v>14</v>
      </c>
      <c r="R2" s="49">
        <v>15</v>
      </c>
      <c r="S2" s="48">
        <v>16</v>
      </c>
      <c r="T2" s="49">
        <v>17</v>
      </c>
      <c r="U2" s="49">
        <v>18</v>
      </c>
      <c r="V2" s="48">
        <v>19</v>
      </c>
      <c r="W2" s="49">
        <v>20</v>
      </c>
      <c r="X2" s="49">
        <v>21</v>
      </c>
      <c r="Y2" s="65">
        <v>22</v>
      </c>
      <c r="Z2" s="65">
        <v>23</v>
      </c>
      <c r="AA2" s="65">
        <v>24</v>
      </c>
      <c r="AB2" s="65">
        <v>25</v>
      </c>
      <c r="AC2" s="65">
        <v>26</v>
      </c>
      <c r="AD2" s="65">
        <v>27</v>
      </c>
      <c r="AE2" s="65">
        <v>28</v>
      </c>
      <c r="AF2" s="66">
        <v>29</v>
      </c>
      <c r="AG2" s="65">
        <v>30</v>
      </c>
      <c r="AH2" s="65">
        <v>31</v>
      </c>
      <c r="AI2" s="65">
        <v>32</v>
      </c>
      <c r="AJ2" s="65">
        <v>33</v>
      </c>
      <c r="AK2" s="65">
        <v>34</v>
      </c>
      <c r="AL2" s="65">
        <v>35</v>
      </c>
    </row>
    <row r="3" spans="1:38" ht="63" customHeight="1" thickBot="1" x14ac:dyDescent="0.35">
      <c r="A3" s="803"/>
      <c r="B3" s="806"/>
      <c r="C3" s="808"/>
      <c r="D3" s="132"/>
      <c r="E3" s="132"/>
      <c r="F3" s="132"/>
      <c r="G3" s="139"/>
      <c r="H3" s="147"/>
      <c r="I3" s="53"/>
      <c r="J3" s="147"/>
      <c r="K3" s="6"/>
      <c r="L3" s="139"/>
      <c r="M3" s="6"/>
      <c r="N3" s="6"/>
      <c r="O3" s="6"/>
      <c r="P3" s="6"/>
      <c r="Q3" s="6"/>
      <c r="R3" s="52"/>
      <c r="S3" s="6"/>
      <c r="T3" s="53"/>
      <c r="U3" s="6"/>
      <c r="V3" s="6"/>
      <c r="W3" s="6"/>
      <c r="X3" s="54"/>
      <c r="Y3" s="59"/>
      <c r="Z3" s="60"/>
      <c r="AA3" s="59"/>
      <c r="AB3" s="59"/>
      <c r="AC3" s="59"/>
      <c r="AD3" s="59"/>
      <c r="AE3" s="59"/>
      <c r="AF3" s="62"/>
      <c r="AG3" s="58"/>
      <c r="AH3" s="58"/>
      <c r="AI3" s="58"/>
      <c r="AJ3" s="58"/>
      <c r="AK3" s="58"/>
      <c r="AL3" s="58"/>
    </row>
    <row r="4" spans="1:38" ht="15" thickBot="1" x14ac:dyDescent="0.35">
      <c r="A4" s="804"/>
      <c r="B4" s="7" t="s">
        <v>3</v>
      </c>
      <c r="C4" s="7"/>
      <c r="D4" s="50">
        <v>1</v>
      </c>
      <c r="E4" s="50">
        <v>2</v>
      </c>
      <c r="F4" s="50">
        <v>3</v>
      </c>
      <c r="G4" s="50">
        <v>4</v>
      </c>
      <c r="H4" s="50">
        <v>5</v>
      </c>
      <c r="I4" s="50">
        <v>6</v>
      </c>
      <c r="J4" s="50">
        <v>7</v>
      </c>
      <c r="K4" s="50">
        <v>8</v>
      </c>
      <c r="L4" s="50">
        <v>9</v>
      </c>
      <c r="M4" s="50">
        <v>10</v>
      </c>
      <c r="N4" s="50">
        <v>11</v>
      </c>
      <c r="O4" s="50">
        <v>12</v>
      </c>
      <c r="P4" s="50">
        <v>13</v>
      </c>
      <c r="Q4" s="50">
        <v>14</v>
      </c>
      <c r="R4" s="50">
        <v>15</v>
      </c>
      <c r="S4" s="50">
        <v>16</v>
      </c>
      <c r="T4" s="50">
        <v>17</v>
      </c>
      <c r="U4" s="50">
        <v>18</v>
      </c>
      <c r="V4" s="50">
        <v>19</v>
      </c>
      <c r="W4" s="50">
        <v>20</v>
      </c>
      <c r="X4" s="50">
        <v>21</v>
      </c>
      <c r="Y4" s="50">
        <v>22</v>
      </c>
      <c r="Z4" s="50">
        <v>23</v>
      </c>
      <c r="AA4" s="50">
        <v>24</v>
      </c>
      <c r="AB4" s="50">
        <v>25</v>
      </c>
      <c r="AC4" s="50">
        <v>26</v>
      </c>
      <c r="AD4" s="50">
        <v>27</v>
      </c>
      <c r="AE4" s="50">
        <v>28</v>
      </c>
      <c r="AF4" s="50">
        <v>29</v>
      </c>
      <c r="AG4" s="50">
        <v>30</v>
      </c>
      <c r="AH4" s="50">
        <v>31</v>
      </c>
      <c r="AI4" s="50">
        <v>32</v>
      </c>
      <c r="AJ4" s="50">
        <v>33</v>
      </c>
      <c r="AK4" s="50">
        <v>34</v>
      </c>
      <c r="AL4" s="50">
        <v>35</v>
      </c>
    </row>
    <row r="5" spans="1:38" ht="24.6" customHeight="1" thickBot="1" x14ac:dyDescent="0.35">
      <c r="A5" s="8">
        <v>1</v>
      </c>
      <c r="B5" s="109" t="s">
        <v>436</v>
      </c>
      <c r="C5" s="9">
        <f>((D5+E5+F5+G5+H5+I5+J5+K5+L5+M5+N5)/11)</f>
        <v>0</v>
      </c>
      <c r="D5" s="39"/>
      <c r="E5" s="40"/>
      <c r="F5" s="40"/>
      <c r="G5" s="41"/>
      <c r="H5" s="41"/>
      <c r="I5" s="41"/>
      <c r="J5" s="41"/>
      <c r="K5" s="41"/>
      <c r="L5" s="41"/>
      <c r="M5" s="42"/>
      <c r="N5" s="41"/>
      <c r="O5" s="41"/>
      <c r="P5" s="42"/>
      <c r="Q5" s="41"/>
      <c r="R5" s="41"/>
      <c r="S5" s="41"/>
      <c r="T5" s="41"/>
      <c r="U5" s="41"/>
      <c r="V5" s="42"/>
      <c r="W5" s="42"/>
      <c r="X5" s="55"/>
      <c r="Y5" s="140"/>
      <c r="Z5" s="140"/>
      <c r="AA5" s="140"/>
      <c r="AB5" s="140"/>
      <c r="AC5" s="140"/>
      <c r="AD5" s="140"/>
      <c r="AE5" s="140"/>
      <c r="AF5" s="141"/>
      <c r="AG5" s="140"/>
      <c r="AH5" s="140"/>
      <c r="AI5" s="140"/>
      <c r="AJ5" s="140"/>
      <c r="AK5" s="140"/>
      <c r="AL5" s="140"/>
    </row>
    <row r="6" spans="1:38" ht="24.6" customHeight="1" thickBot="1" x14ac:dyDescent="0.35">
      <c r="A6" s="138">
        <v>2</v>
      </c>
      <c r="B6" s="109" t="s">
        <v>65</v>
      </c>
      <c r="C6" s="9">
        <f t="shared" ref="C6:C32" si="0">((D6+E6+F6+G6+H6+I6+J6+K6+L6+M6+N6)/11)</f>
        <v>0</v>
      </c>
      <c r="D6" s="43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57"/>
      <c r="Y6" s="143"/>
      <c r="Z6" s="143"/>
      <c r="AA6" s="143"/>
      <c r="AB6" s="143"/>
      <c r="AC6" s="143"/>
      <c r="AD6" s="143"/>
      <c r="AE6" s="143"/>
      <c r="AF6" s="145"/>
      <c r="AG6" s="143"/>
      <c r="AH6" s="143"/>
      <c r="AI6" s="143"/>
      <c r="AJ6" s="143"/>
      <c r="AK6" s="143"/>
      <c r="AL6" s="143"/>
    </row>
    <row r="7" spans="1:38" ht="24.6" customHeight="1" thickBot="1" x14ac:dyDescent="0.35">
      <c r="A7" s="138">
        <v>3</v>
      </c>
      <c r="B7" s="110" t="s">
        <v>66</v>
      </c>
      <c r="C7" s="9">
        <f t="shared" si="0"/>
        <v>0</v>
      </c>
      <c r="D7" s="45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56"/>
      <c r="Y7" s="107"/>
      <c r="Z7" s="107"/>
      <c r="AA7" s="107"/>
      <c r="AB7" s="107"/>
      <c r="AC7" s="107"/>
      <c r="AD7" s="107"/>
      <c r="AE7" s="107"/>
      <c r="AF7" s="142"/>
      <c r="AG7" s="107"/>
      <c r="AH7" s="107"/>
      <c r="AI7" s="107"/>
      <c r="AJ7" s="107"/>
      <c r="AK7" s="107"/>
      <c r="AL7" s="107"/>
    </row>
    <row r="8" spans="1:38" ht="24.6" customHeight="1" thickBot="1" x14ac:dyDescent="0.35">
      <c r="A8" s="8">
        <v>4</v>
      </c>
      <c r="B8" s="109" t="s">
        <v>67</v>
      </c>
      <c r="C8" s="9">
        <f t="shared" si="0"/>
        <v>0</v>
      </c>
      <c r="D8" s="45"/>
      <c r="E8" s="44"/>
      <c r="F8" s="44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57"/>
      <c r="Y8" s="107"/>
      <c r="Z8" s="107"/>
      <c r="AA8" s="107"/>
      <c r="AB8" s="107"/>
      <c r="AC8" s="107"/>
      <c r="AD8" s="107"/>
      <c r="AE8" s="107"/>
      <c r="AF8" s="142"/>
      <c r="AG8" s="107"/>
      <c r="AH8" s="107"/>
      <c r="AI8" s="107"/>
      <c r="AJ8" s="107"/>
      <c r="AK8" s="107"/>
      <c r="AL8" s="107"/>
    </row>
    <row r="9" spans="1:38" ht="24.6" customHeight="1" thickBot="1" x14ac:dyDescent="0.35">
      <c r="A9" s="138">
        <v>5</v>
      </c>
      <c r="B9" s="110" t="s">
        <v>68</v>
      </c>
      <c r="C9" s="9">
        <f t="shared" si="0"/>
        <v>0</v>
      </c>
      <c r="D9" s="43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2"/>
      <c r="Q9" s="42"/>
      <c r="R9" s="42"/>
      <c r="S9" s="42"/>
      <c r="T9" s="42"/>
      <c r="U9" s="42"/>
      <c r="V9" s="44"/>
      <c r="W9" s="44"/>
      <c r="X9" s="55"/>
      <c r="Y9" s="107"/>
      <c r="Z9" s="107"/>
      <c r="AA9" s="107"/>
      <c r="AB9" s="107"/>
      <c r="AC9" s="107"/>
      <c r="AD9" s="107"/>
      <c r="AE9" s="107"/>
      <c r="AF9" s="142"/>
      <c r="AG9" s="107"/>
      <c r="AH9" s="107"/>
      <c r="AI9" s="107"/>
      <c r="AJ9" s="107"/>
      <c r="AK9" s="107"/>
      <c r="AL9" s="107"/>
    </row>
    <row r="10" spans="1:38" ht="24.6" customHeight="1" thickBot="1" x14ac:dyDescent="0.35">
      <c r="A10" s="138">
        <v>6</v>
      </c>
      <c r="B10" s="109" t="s">
        <v>69</v>
      </c>
      <c r="C10" s="9">
        <f t="shared" si="0"/>
        <v>0</v>
      </c>
      <c r="D10" s="46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56"/>
      <c r="Y10" s="107"/>
      <c r="Z10" s="107"/>
      <c r="AA10" s="107"/>
      <c r="AB10" s="107"/>
      <c r="AC10" s="107"/>
      <c r="AD10" s="107"/>
      <c r="AE10" s="107"/>
      <c r="AF10" s="142"/>
      <c r="AG10" s="107"/>
      <c r="AH10" s="107"/>
      <c r="AI10" s="107"/>
      <c r="AJ10" s="107"/>
      <c r="AK10" s="107"/>
      <c r="AL10" s="107"/>
    </row>
    <row r="11" spans="1:38" ht="24.6" customHeight="1" thickBot="1" x14ac:dyDescent="0.35">
      <c r="A11" s="8">
        <v>7</v>
      </c>
      <c r="B11" s="109" t="s">
        <v>70</v>
      </c>
      <c r="C11" s="9">
        <f t="shared" si="0"/>
        <v>0</v>
      </c>
      <c r="D11" s="43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55"/>
      <c r="Y11" s="107"/>
      <c r="Z11" s="107"/>
      <c r="AA11" s="107"/>
      <c r="AB11" s="107"/>
      <c r="AC11" s="107"/>
      <c r="AD11" s="107"/>
      <c r="AE11" s="107"/>
      <c r="AF11" s="142"/>
      <c r="AG11" s="107"/>
      <c r="AH11" s="107"/>
      <c r="AI11" s="107"/>
      <c r="AJ11" s="107"/>
      <c r="AK11" s="107"/>
      <c r="AL11" s="107"/>
    </row>
    <row r="12" spans="1:38" ht="24.6" customHeight="1" thickBot="1" x14ac:dyDescent="0.35">
      <c r="A12" s="138">
        <v>8</v>
      </c>
      <c r="B12" s="109" t="s">
        <v>71</v>
      </c>
      <c r="C12" s="9">
        <f t="shared" si="0"/>
        <v>0</v>
      </c>
      <c r="D12" s="46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2"/>
      <c r="X12" s="55"/>
      <c r="Y12" s="107"/>
      <c r="Z12" s="107"/>
      <c r="AA12" s="107"/>
      <c r="AB12" s="107"/>
      <c r="AC12" s="107"/>
      <c r="AD12" s="107"/>
      <c r="AE12" s="107"/>
      <c r="AF12" s="142"/>
      <c r="AG12" s="107"/>
      <c r="AH12" s="107"/>
      <c r="AI12" s="107"/>
      <c r="AJ12" s="107"/>
      <c r="AK12" s="107"/>
      <c r="AL12" s="107"/>
    </row>
    <row r="13" spans="1:38" ht="24.6" customHeight="1" thickBot="1" x14ac:dyDescent="0.35">
      <c r="A13" s="138">
        <v>9</v>
      </c>
      <c r="B13" s="109" t="s">
        <v>72</v>
      </c>
      <c r="C13" s="9">
        <f t="shared" si="0"/>
        <v>0</v>
      </c>
      <c r="D13" s="45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2"/>
      <c r="Q13" s="42"/>
      <c r="R13" s="42"/>
      <c r="S13" s="42"/>
      <c r="T13" s="42"/>
      <c r="U13" s="42"/>
      <c r="V13" s="44"/>
      <c r="W13" s="44"/>
      <c r="X13" s="56"/>
      <c r="Y13" s="107"/>
      <c r="Z13" s="107"/>
      <c r="AA13" s="107"/>
      <c r="AB13" s="107"/>
      <c r="AC13" s="107"/>
      <c r="AD13" s="107"/>
      <c r="AE13" s="107"/>
      <c r="AF13" s="142"/>
      <c r="AG13" s="107"/>
      <c r="AH13" s="107"/>
      <c r="AI13" s="107"/>
      <c r="AJ13" s="107"/>
      <c r="AK13" s="107"/>
      <c r="AL13" s="107"/>
    </row>
    <row r="14" spans="1:38" ht="24.6" customHeight="1" thickBot="1" x14ac:dyDescent="0.35">
      <c r="A14" s="8">
        <v>10</v>
      </c>
      <c r="B14" s="109" t="s">
        <v>73</v>
      </c>
      <c r="C14" s="9">
        <f t="shared" si="0"/>
        <v>0</v>
      </c>
      <c r="D14" s="46"/>
      <c r="E14" s="44"/>
      <c r="F14" s="44"/>
      <c r="G14" s="44"/>
      <c r="H14" s="44"/>
      <c r="I14" s="44"/>
      <c r="J14" s="42"/>
      <c r="K14" s="44"/>
      <c r="L14" s="44"/>
      <c r="M14" s="42"/>
      <c r="N14" s="44"/>
      <c r="O14" s="44"/>
      <c r="P14" s="42"/>
      <c r="Q14" s="44"/>
      <c r="R14" s="44"/>
      <c r="S14" s="44"/>
      <c r="T14" s="44"/>
      <c r="U14" s="44"/>
      <c r="V14" s="44"/>
      <c r="W14" s="44"/>
      <c r="X14" s="56"/>
      <c r="Y14" s="107"/>
      <c r="Z14" s="107"/>
      <c r="AA14" s="107"/>
      <c r="AB14" s="107"/>
      <c r="AC14" s="107"/>
      <c r="AD14" s="107"/>
      <c r="AE14" s="107"/>
      <c r="AF14" s="142"/>
      <c r="AG14" s="107"/>
      <c r="AH14" s="107"/>
      <c r="AI14" s="107"/>
      <c r="AJ14" s="107"/>
      <c r="AK14" s="107"/>
      <c r="AL14" s="107"/>
    </row>
    <row r="15" spans="1:38" ht="24.6" customHeight="1" thickBot="1" x14ac:dyDescent="0.35">
      <c r="A15" s="138">
        <v>11</v>
      </c>
      <c r="B15" s="109" t="s">
        <v>74</v>
      </c>
      <c r="C15" s="9">
        <f t="shared" si="0"/>
        <v>0</v>
      </c>
      <c r="D15" s="46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56"/>
      <c r="Y15" s="107"/>
      <c r="Z15" s="107"/>
      <c r="AA15" s="107"/>
      <c r="AB15" s="107"/>
      <c r="AC15" s="107"/>
      <c r="AD15" s="107"/>
      <c r="AE15" s="107"/>
      <c r="AF15" s="142"/>
      <c r="AG15" s="107"/>
      <c r="AH15" s="107"/>
      <c r="AI15" s="107"/>
      <c r="AJ15" s="107"/>
      <c r="AK15" s="107"/>
      <c r="AL15" s="107"/>
    </row>
    <row r="16" spans="1:38" ht="24.6" customHeight="1" thickBot="1" x14ac:dyDescent="0.35">
      <c r="A16" s="138">
        <v>12</v>
      </c>
      <c r="B16" s="109" t="s">
        <v>75</v>
      </c>
      <c r="C16" s="9">
        <f t="shared" si="0"/>
        <v>0</v>
      </c>
      <c r="D16" s="47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56"/>
      <c r="Y16" s="107"/>
      <c r="Z16" s="107"/>
      <c r="AA16" s="107"/>
      <c r="AB16" s="107"/>
      <c r="AC16" s="107"/>
      <c r="AD16" s="107"/>
      <c r="AE16" s="143"/>
      <c r="AF16" s="142"/>
      <c r="AG16" s="107"/>
      <c r="AH16" s="107"/>
      <c r="AI16" s="107"/>
      <c r="AJ16" s="107"/>
      <c r="AK16" s="107"/>
      <c r="AL16" s="107"/>
    </row>
    <row r="17" spans="1:38" ht="24.6" customHeight="1" thickBot="1" x14ac:dyDescent="0.35">
      <c r="A17" s="8">
        <v>13</v>
      </c>
      <c r="B17" s="109" t="s">
        <v>76</v>
      </c>
      <c r="C17" s="9">
        <f t="shared" si="0"/>
        <v>0</v>
      </c>
      <c r="D17" s="45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55"/>
      <c r="Y17" s="107"/>
      <c r="Z17" s="107"/>
      <c r="AA17" s="107"/>
      <c r="AB17" s="107"/>
      <c r="AC17" s="107"/>
      <c r="AD17" s="107"/>
      <c r="AE17" s="107"/>
      <c r="AF17" s="142"/>
      <c r="AG17" s="107"/>
      <c r="AH17" s="107"/>
      <c r="AI17" s="107"/>
      <c r="AJ17" s="107"/>
      <c r="AK17" s="107"/>
      <c r="AL17" s="107"/>
    </row>
    <row r="18" spans="1:38" ht="24.6" customHeight="1" thickBot="1" x14ac:dyDescent="0.35">
      <c r="A18" s="138">
        <v>14</v>
      </c>
      <c r="B18" s="109" t="s">
        <v>77</v>
      </c>
      <c r="C18" s="9">
        <f t="shared" si="0"/>
        <v>0</v>
      </c>
      <c r="D18" s="45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56"/>
      <c r="Y18" s="107"/>
      <c r="Z18" s="107"/>
      <c r="AA18" s="107"/>
      <c r="AB18" s="107"/>
      <c r="AC18" s="107"/>
      <c r="AD18" s="107"/>
      <c r="AE18" s="107"/>
      <c r="AF18" s="142"/>
      <c r="AG18" s="107"/>
      <c r="AH18" s="107"/>
      <c r="AI18" s="107"/>
      <c r="AJ18" s="107"/>
      <c r="AK18" s="107"/>
      <c r="AL18" s="107"/>
    </row>
    <row r="19" spans="1:38" ht="24.6" customHeight="1" thickBot="1" x14ac:dyDescent="0.35">
      <c r="A19" s="138">
        <v>15</v>
      </c>
      <c r="B19" s="109" t="s">
        <v>78</v>
      </c>
      <c r="C19" s="9">
        <f t="shared" si="0"/>
        <v>0</v>
      </c>
      <c r="D19" s="46"/>
      <c r="E19" s="44"/>
      <c r="F19" s="44"/>
      <c r="G19" s="44"/>
      <c r="H19" s="44"/>
      <c r="I19" s="44"/>
      <c r="J19" s="44"/>
      <c r="K19" s="44"/>
      <c r="L19" s="44"/>
      <c r="M19" s="44"/>
      <c r="N19" s="41"/>
      <c r="O19" s="41"/>
      <c r="P19" s="44"/>
      <c r="Q19" s="44"/>
      <c r="R19" s="44"/>
      <c r="S19" s="44"/>
      <c r="T19" s="44"/>
      <c r="U19" s="44"/>
      <c r="V19" s="44"/>
      <c r="W19" s="44"/>
      <c r="X19" s="56"/>
      <c r="Y19" s="107"/>
      <c r="Z19" s="107"/>
      <c r="AA19" s="107"/>
      <c r="AB19" s="107"/>
      <c r="AC19" s="107"/>
      <c r="AD19" s="107"/>
      <c r="AE19" s="107"/>
      <c r="AF19" s="142"/>
      <c r="AG19" s="107"/>
      <c r="AH19" s="107"/>
      <c r="AI19" s="107"/>
      <c r="AJ19" s="107"/>
      <c r="AK19" s="107"/>
      <c r="AL19" s="107"/>
    </row>
    <row r="20" spans="1:38" ht="24.6" customHeight="1" thickBot="1" x14ac:dyDescent="0.35">
      <c r="A20" s="8">
        <v>16</v>
      </c>
      <c r="B20" s="109" t="s">
        <v>79</v>
      </c>
      <c r="C20" s="9">
        <f t="shared" si="0"/>
        <v>0</v>
      </c>
      <c r="D20" s="45"/>
      <c r="E20" s="41"/>
      <c r="F20" s="41"/>
      <c r="G20" s="41"/>
      <c r="H20" s="41"/>
      <c r="I20" s="41"/>
      <c r="J20" s="41"/>
      <c r="K20" s="41"/>
      <c r="L20" s="41"/>
      <c r="M20" s="41"/>
      <c r="N20" s="44"/>
      <c r="O20" s="44"/>
      <c r="P20" s="41"/>
      <c r="Q20" s="41"/>
      <c r="R20" s="41"/>
      <c r="S20" s="41"/>
      <c r="T20" s="41"/>
      <c r="U20" s="41"/>
      <c r="V20" s="41"/>
      <c r="W20" s="41"/>
      <c r="X20" s="55"/>
      <c r="Y20" s="107"/>
      <c r="Z20" s="107"/>
      <c r="AA20" s="107"/>
      <c r="AB20" s="107"/>
      <c r="AC20" s="107"/>
      <c r="AD20" s="107"/>
      <c r="AE20" s="107"/>
      <c r="AF20" s="142"/>
      <c r="AG20" s="107"/>
      <c r="AH20" s="107"/>
      <c r="AI20" s="107"/>
      <c r="AJ20" s="107"/>
      <c r="AK20" s="107"/>
      <c r="AL20" s="107"/>
    </row>
    <row r="21" spans="1:38" ht="24.6" customHeight="1" thickBot="1" x14ac:dyDescent="0.35">
      <c r="A21" s="138">
        <v>17</v>
      </c>
      <c r="B21" s="109" t="s">
        <v>80</v>
      </c>
      <c r="C21" s="9">
        <f t="shared" si="0"/>
        <v>0</v>
      </c>
      <c r="D21" s="46"/>
      <c r="E21" s="44"/>
      <c r="F21" s="44"/>
      <c r="G21" s="44"/>
      <c r="H21" s="44"/>
      <c r="I21" s="44"/>
      <c r="J21" s="44"/>
      <c r="K21" s="44"/>
      <c r="L21" s="44"/>
      <c r="M21" s="44"/>
      <c r="N21" s="41"/>
      <c r="O21" s="41"/>
      <c r="P21" s="44"/>
      <c r="Q21" s="44"/>
      <c r="R21" s="44"/>
      <c r="S21" s="44"/>
      <c r="T21" s="44"/>
      <c r="U21" s="44"/>
      <c r="V21" s="44"/>
      <c r="W21" s="44"/>
      <c r="X21" s="56"/>
      <c r="Y21" s="107"/>
      <c r="Z21" s="107"/>
      <c r="AA21" s="107"/>
      <c r="AB21" s="107"/>
      <c r="AC21" s="107"/>
      <c r="AD21" s="107"/>
      <c r="AE21" s="107"/>
      <c r="AF21" s="142"/>
      <c r="AG21" s="107"/>
      <c r="AH21" s="107"/>
      <c r="AI21" s="107"/>
      <c r="AJ21" s="107"/>
      <c r="AK21" s="107"/>
      <c r="AL21" s="107"/>
    </row>
    <row r="22" spans="1:38" ht="24.6" customHeight="1" thickBot="1" x14ac:dyDescent="0.35">
      <c r="A22" s="138">
        <v>18</v>
      </c>
      <c r="B22" s="109" t="s">
        <v>91</v>
      </c>
      <c r="C22" s="9">
        <f t="shared" si="0"/>
        <v>0</v>
      </c>
      <c r="D22" s="46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56"/>
      <c r="Y22" s="107"/>
      <c r="Z22" s="107"/>
      <c r="AA22" s="107"/>
      <c r="AB22" s="107"/>
      <c r="AC22" s="107"/>
      <c r="AD22" s="107"/>
      <c r="AE22" s="107"/>
      <c r="AF22" s="142"/>
      <c r="AG22" s="107"/>
      <c r="AH22" s="107"/>
      <c r="AI22" s="107"/>
      <c r="AJ22" s="107"/>
      <c r="AK22" s="107"/>
      <c r="AL22" s="107"/>
    </row>
    <row r="23" spans="1:38" ht="24.6" customHeight="1" thickBot="1" x14ac:dyDescent="0.35">
      <c r="A23" s="8">
        <v>19</v>
      </c>
      <c r="B23" s="109" t="s">
        <v>81</v>
      </c>
      <c r="C23" s="9">
        <f t="shared" si="0"/>
        <v>0</v>
      </c>
      <c r="D23" s="46"/>
      <c r="E23" s="44"/>
      <c r="F23" s="44"/>
      <c r="G23" s="44"/>
      <c r="H23" s="44"/>
      <c r="I23" s="44"/>
      <c r="J23" s="44"/>
      <c r="K23" s="44"/>
      <c r="L23" s="44"/>
      <c r="M23" s="44"/>
      <c r="N23" s="41"/>
      <c r="O23" s="41"/>
      <c r="P23" s="44"/>
      <c r="Q23" s="44"/>
      <c r="R23" s="44"/>
      <c r="S23" s="44"/>
      <c r="T23" s="44"/>
      <c r="U23" s="44"/>
      <c r="V23" s="44"/>
      <c r="W23" s="44"/>
      <c r="X23" s="56"/>
      <c r="Y23" s="107"/>
      <c r="Z23" s="107"/>
      <c r="AA23" s="107"/>
      <c r="AB23" s="107"/>
      <c r="AC23" s="107"/>
      <c r="AD23" s="107"/>
      <c r="AE23" s="107"/>
      <c r="AF23" s="142"/>
      <c r="AG23" s="107"/>
      <c r="AH23" s="107"/>
      <c r="AI23" s="107"/>
      <c r="AJ23" s="107"/>
      <c r="AK23" s="107"/>
      <c r="AL23" s="107"/>
    </row>
    <row r="24" spans="1:38" ht="24.6" customHeight="1" thickBot="1" x14ac:dyDescent="0.35">
      <c r="A24" s="138">
        <v>20</v>
      </c>
      <c r="B24" s="111" t="s">
        <v>82</v>
      </c>
      <c r="C24" s="9">
        <f t="shared" si="0"/>
        <v>0</v>
      </c>
      <c r="D24" s="45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Y24" s="107"/>
      <c r="Z24" s="107"/>
      <c r="AA24" s="107"/>
      <c r="AB24" s="107"/>
      <c r="AC24" s="107"/>
      <c r="AD24" s="107"/>
      <c r="AE24" s="107"/>
      <c r="AF24" s="142"/>
      <c r="AG24" s="107"/>
      <c r="AH24" s="107"/>
      <c r="AI24" s="107"/>
      <c r="AJ24" s="107"/>
      <c r="AK24" s="107"/>
      <c r="AL24" s="107"/>
    </row>
    <row r="25" spans="1:38" ht="24.6" customHeight="1" thickBot="1" x14ac:dyDescent="0.35">
      <c r="A25" s="138">
        <v>21</v>
      </c>
      <c r="B25" s="109" t="s">
        <v>83</v>
      </c>
      <c r="C25" s="9">
        <f t="shared" si="0"/>
        <v>0</v>
      </c>
      <c r="D25" s="45"/>
      <c r="E25" s="44"/>
      <c r="F25" s="44"/>
      <c r="G25" s="44"/>
      <c r="H25" s="44"/>
      <c r="I25" s="44"/>
      <c r="J25" s="44"/>
      <c r="K25" s="44"/>
      <c r="L25" s="44"/>
      <c r="M25" s="44"/>
      <c r="N25" s="41"/>
      <c r="O25" s="41"/>
      <c r="P25" s="44"/>
      <c r="Q25" s="44"/>
      <c r="R25" s="44"/>
      <c r="S25" s="44"/>
      <c r="T25" s="44"/>
      <c r="U25" s="44"/>
      <c r="V25" s="44"/>
      <c r="W25" s="44"/>
      <c r="X25" s="56"/>
      <c r="Y25" s="107"/>
      <c r="Z25" s="107"/>
      <c r="AA25" s="107"/>
      <c r="AB25" s="107"/>
      <c r="AC25" s="107"/>
      <c r="AD25" s="107"/>
      <c r="AE25" s="107"/>
      <c r="AF25" s="142"/>
      <c r="AG25" s="107"/>
      <c r="AH25" s="107"/>
      <c r="AI25" s="107"/>
      <c r="AJ25" s="107"/>
      <c r="AK25" s="107"/>
      <c r="AL25" s="107"/>
    </row>
    <row r="26" spans="1:38" ht="24.6" customHeight="1" thickBot="1" x14ac:dyDescent="0.35">
      <c r="A26" s="8">
        <v>22</v>
      </c>
      <c r="B26" s="112" t="s">
        <v>84</v>
      </c>
      <c r="C26" s="9">
        <f t="shared" si="0"/>
        <v>0</v>
      </c>
      <c r="D26" s="46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56"/>
      <c r="Y26" s="107"/>
      <c r="Z26" s="107"/>
      <c r="AA26" s="107"/>
      <c r="AB26" s="107"/>
      <c r="AC26" s="107"/>
      <c r="AD26" s="107"/>
      <c r="AE26" s="107"/>
      <c r="AF26" s="142"/>
      <c r="AG26" s="107"/>
      <c r="AH26" s="107"/>
      <c r="AI26" s="107"/>
      <c r="AJ26" s="107"/>
      <c r="AK26" s="107"/>
      <c r="AL26" s="107"/>
    </row>
    <row r="27" spans="1:38" ht="24.6" customHeight="1" thickBot="1" x14ac:dyDescent="0.35">
      <c r="A27" s="138">
        <v>23</v>
      </c>
      <c r="B27" s="109" t="s">
        <v>432</v>
      </c>
      <c r="C27" s="9">
        <f t="shared" si="0"/>
        <v>0</v>
      </c>
      <c r="D27" s="46"/>
      <c r="E27" s="44"/>
      <c r="F27" s="44"/>
      <c r="G27" s="44"/>
      <c r="H27" s="44"/>
      <c r="I27" s="44"/>
      <c r="J27" s="44"/>
      <c r="K27" s="44"/>
      <c r="L27" s="44"/>
      <c r="M27" s="44"/>
      <c r="N27" s="41"/>
      <c r="O27" s="41"/>
      <c r="P27" s="44"/>
      <c r="Q27" s="44"/>
      <c r="R27" s="44"/>
      <c r="S27" s="44"/>
      <c r="T27" s="44"/>
      <c r="U27" s="44"/>
      <c r="V27" s="44"/>
      <c r="W27" s="44"/>
      <c r="X27" s="56"/>
      <c r="Y27" s="107"/>
      <c r="Z27" s="107"/>
      <c r="AA27" s="107"/>
      <c r="AB27" s="107"/>
      <c r="AC27" s="107"/>
      <c r="AD27" s="107"/>
      <c r="AE27" s="107"/>
      <c r="AF27" s="142"/>
      <c r="AG27" s="107"/>
      <c r="AH27" s="107"/>
      <c r="AI27" s="107"/>
      <c r="AJ27" s="107"/>
      <c r="AK27" s="107"/>
      <c r="AL27" s="107"/>
    </row>
    <row r="28" spans="1:38" ht="24.6" customHeight="1" thickBot="1" x14ac:dyDescent="0.35">
      <c r="A28" s="138">
        <v>24</v>
      </c>
      <c r="B28" s="109" t="s">
        <v>85</v>
      </c>
      <c r="C28" s="9">
        <f t="shared" si="0"/>
        <v>0</v>
      </c>
      <c r="D28" s="46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56"/>
      <c r="Y28" s="107"/>
      <c r="Z28" s="107"/>
      <c r="AA28" s="107"/>
      <c r="AB28" s="107"/>
      <c r="AC28" s="107"/>
      <c r="AD28" s="107"/>
      <c r="AE28" s="107"/>
      <c r="AF28" s="142"/>
      <c r="AG28" s="107"/>
      <c r="AH28" s="107"/>
      <c r="AI28" s="107"/>
      <c r="AJ28" s="107"/>
      <c r="AK28" s="107"/>
      <c r="AL28" s="107"/>
    </row>
    <row r="29" spans="1:38" ht="24.6" customHeight="1" thickBot="1" x14ac:dyDescent="0.35">
      <c r="A29" s="99">
        <v>25</v>
      </c>
      <c r="B29" s="109" t="s">
        <v>86</v>
      </c>
      <c r="C29" s="9">
        <f t="shared" si="0"/>
        <v>0</v>
      </c>
      <c r="D29" s="100"/>
      <c r="E29" s="101"/>
      <c r="F29" s="101"/>
      <c r="G29" s="101"/>
      <c r="H29" s="101"/>
      <c r="I29" s="101"/>
      <c r="J29" s="101"/>
      <c r="K29" s="101"/>
      <c r="L29" s="101"/>
      <c r="M29" s="101"/>
      <c r="N29" s="102"/>
      <c r="O29" s="101"/>
      <c r="P29" s="101"/>
      <c r="Q29" s="101"/>
      <c r="R29" s="101"/>
      <c r="S29" s="101"/>
      <c r="T29" s="101"/>
      <c r="U29" s="101"/>
      <c r="V29" s="101"/>
      <c r="W29" s="101"/>
      <c r="X29" s="103"/>
      <c r="Y29" s="108"/>
      <c r="Z29" s="108"/>
      <c r="AA29" s="108"/>
      <c r="AB29" s="108"/>
      <c r="AC29" s="108"/>
      <c r="AD29" s="108"/>
      <c r="AE29" s="108"/>
      <c r="AF29" s="144"/>
      <c r="AG29" s="108"/>
      <c r="AH29" s="108"/>
      <c r="AI29" s="108"/>
      <c r="AJ29" s="108"/>
      <c r="AK29" s="108"/>
      <c r="AL29" s="108"/>
    </row>
    <row r="30" spans="1:38" ht="24.6" customHeight="1" thickBot="1" x14ac:dyDescent="0.35">
      <c r="A30" s="23">
        <v>26</v>
      </c>
      <c r="B30" s="109" t="s">
        <v>88</v>
      </c>
      <c r="C30" s="9">
        <f t="shared" si="0"/>
        <v>0</v>
      </c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</row>
    <row r="31" spans="1:38" ht="24.6" customHeight="1" thickBot="1" x14ac:dyDescent="0.35">
      <c r="A31" s="104">
        <v>27</v>
      </c>
      <c r="B31" s="109" t="s">
        <v>89</v>
      </c>
      <c r="C31" s="9">
        <f t="shared" si="0"/>
        <v>0</v>
      </c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</row>
    <row r="32" spans="1:38" ht="24.6" customHeight="1" x14ac:dyDescent="0.3">
      <c r="A32" s="707">
        <v>28</v>
      </c>
      <c r="B32" s="113" t="s">
        <v>90</v>
      </c>
      <c r="C32" s="708">
        <f t="shared" si="0"/>
        <v>0</v>
      </c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</row>
    <row r="33" spans="1:38" ht="24.6" customHeight="1" x14ac:dyDescent="0.3">
      <c r="A33" s="447">
        <v>29</v>
      </c>
      <c r="B33" s="109" t="s">
        <v>121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</sheetData>
  <mergeCells count="4">
    <mergeCell ref="A1:AL1"/>
    <mergeCell ref="A2:A4"/>
    <mergeCell ref="B2:B3"/>
    <mergeCell ref="C2:C3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33"/>
  <sheetViews>
    <sheetView topLeftCell="A14" zoomScale="115" zoomScaleNormal="115" workbookViewId="0">
      <selection activeCell="C17" sqref="C17"/>
    </sheetView>
  </sheetViews>
  <sheetFormatPr baseColWidth="10" defaultRowHeight="14.4" x14ac:dyDescent="0.3"/>
  <cols>
    <col min="1" max="1" width="3.44140625" customWidth="1"/>
    <col min="2" max="2" width="22.21875" customWidth="1"/>
    <col min="3" max="3" width="2.77734375" customWidth="1"/>
    <col min="4" max="4" width="2.33203125" customWidth="1"/>
    <col min="5" max="11" width="2.109375" style="83" customWidth="1"/>
    <col min="12" max="13" width="5.21875" style="448" customWidth="1"/>
    <col min="14" max="14" width="4.44140625" style="448" customWidth="1"/>
    <col min="15" max="15" width="2.88671875" style="448" customWidth="1"/>
    <col min="16" max="18" width="4.44140625" style="448" customWidth="1"/>
    <col min="19" max="19" width="4.44140625" style="83" customWidth="1"/>
    <col min="20" max="25" width="4.44140625" customWidth="1"/>
    <col min="28" max="30" width="4.6640625" customWidth="1"/>
    <col min="31" max="32" width="5.21875" customWidth="1"/>
  </cols>
  <sheetData>
    <row r="1" spans="1:32" ht="21" x14ac:dyDescent="0.4">
      <c r="A1" s="826" t="s">
        <v>473</v>
      </c>
      <c r="B1" s="826"/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6"/>
      <c r="N1" s="826"/>
      <c r="O1" s="826"/>
      <c r="P1" s="826"/>
      <c r="Q1" s="826"/>
      <c r="R1" s="826"/>
      <c r="S1" s="826"/>
      <c r="T1" s="826"/>
      <c r="U1" s="826"/>
      <c r="V1" s="826"/>
      <c r="W1" s="826"/>
      <c r="X1" s="191"/>
    </row>
    <row r="2" spans="1:32" ht="72.599999999999994" customHeight="1" x14ac:dyDescent="0.3">
      <c r="A2" s="20" t="s">
        <v>36</v>
      </c>
      <c r="B2" s="23" t="s">
        <v>61</v>
      </c>
      <c r="C2" s="709" t="s">
        <v>472</v>
      </c>
      <c r="D2" s="710"/>
      <c r="E2" s="827"/>
      <c r="F2" s="829"/>
      <c r="G2" s="829"/>
      <c r="H2" s="829"/>
      <c r="I2" s="829"/>
      <c r="J2" s="829"/>
      <c r="K2" s="828"/>
      <c r="L2" s="711"/>
      <c r="M2" s="711"/>
      <c r="N2" s="711"/>
      <c r="O2" s="711"/>
      <c r="P2" s="711"/>
      <c r="Q2" s="711"/>
      <c r="R2" s="711"/>
      <c r="S2" s="712"/>
      <c r="T2" s="712"/>
      <c r="U2" s="712"/>
      <c r="V2" s="713"/>
      <c r="W2" s="827"/>
      <c r="X2" s="828"/>
      <c r="Y2" s="712"/>
      <c r="Z2" s="712"/>
      <c r="AA2" s="712"/>
      <c r="AB2" s="712"/>
      <c r="AC2" s="712"/>
      <c r="AD2" s="712"/>
      <c r="AE2" s="714"/>
      <c r="AF2" s="715"/>
    </row>
    <row r="3" spans="1:32" ht="18" customHeight="1" x14ac:dyDescent="0.3">
      <c r="A3" s="20">
        <v>1</v>
      </c>
      <c r="B3" s="567" t="s">
        <v>457</v>
      </c>
      <c r="C3" s="309">
        <v>8</v>
      </c>
      <c r="D3" s="716"/>
      <c r="E3" s="4"/>
      <c r="F3" s="4"/>
      <c r="G3" s="716"/>
      <c r="H3" s="716"/>
      <c r="I3" s="716"/>
      <c r="J3" s="716"/>
      <c r="K3" s="716"/>
      <c r="L3" s="716"/>
      <c r="M3" s="716"/>
      <c r="N3" s="717"/>
      <c r="O3" s="716"/>
      <c r="P3" s="716"/>
      <c r="Q3" s="716"/>
      <c r="R3" s="716"/>
      <c r="S3" s="283"/>
      <c r="T3" s="4"/>
      <c r="U3" s="117"/>
      <c r="V3" s="118"/>
      <c r="W3" s="4"/>
      <c r="X3" s="4"/>
      <c r="Y3" s="117"/>
      <c r="Z3" s="128"/>
      <c r="AA3" s="128"/>
      <c r="AB3" s="718"/>
      <c r="AC3" s="4"/>
      <c r="AD3" s="128"/>
      <c r="AE3" s="719"/>
      <c r="AF3" s="119"/>
    </row>
    <row r="4" spans="1:32" ht="18" customHeight="1" x14ac:dyDescent="0.3">
      <c r="A4" s="20">
        <v>2</v>
      </c>
      <c r="B4" s="567" t="s">
        <v>458</v>
      </c>
      <c r="C4" s="720">
        <v>8</v>
      </c>
      <c r="D4" s="716"/>
      <c r="E4" s="4"/>
      <c r="F4" s="4"/>
      <c r="G4" s="716"/>
      <c r="H4" s="721"/>
      <c r="I4" s="716"/>
      <c r="J4" s="716"/>
      <c r="K4" s="716"/>
      <c r="L4" s="716"/>
      <c r="M4" s="716"/>
      <c r="N4" s="716"/>
      <c r="O4" s="716"/>
      <c r="P4" s="716"/>
      <c r="Q4" s="716"/>
      <c r="R4" s="716"/>
      <c r="S4" s="283"/>
      <c r="T4" s="4"/>
      <c r="U4" s="117"/>
      <c r="V4" s="118"/>
      <c r="W4" s="4"/>
      <c r="X4" s="4"/>
      <c r="Y4" s="117"/>
      <c r="Z4" s="128"/>
      <c r="AA4" s="128"/>
      <c r="AB4" s="118"/>
      <c r="AC4" s="4"/>
      <c r="AD4" s="128"/>
      <c r="AE4" s="719"/>
      <c r="AF4" s="119"/>
    </row>
    <row r="5" spans="1:32" ht="18" customHeight="1" x14ac:dyDescent="0.3">
      <c r="A5" s="20">
        <v>3</v>
      </c>
      <c r="B5" s="698" t="s">
        <v>459</v>
      </c>
      <c r="C5" s="309" t="s">
        <v>474</v>
      </c>
      <c r="D5" s="716"/>
      <c r="E5" s="4"/>
      <c r="F5" s="4"/>
      <c r="G5" s="716"/>
      <c r="H5" s="716"/>
      <c r="I5" s="716"/>
      <c r="J5" s="716"/>
      <c r="K5" s="716"/>
      <c r="L5" s="716"/>
      <c r="M5" s="716"/>
      <c r="N5" s="716"/>
      <c r="O5" s="716"/>
      <c r="P5" s="716"/>
      <c r="Q5" s="716"/>
      <c r="R5" s="716"/>
      <c r="S5" s="283"/>
      <c r="T5" s="4"/>
      <c r="U5" s="117"/>
      <c r="V5" s="118"/>
      <c r="W5" s="4"/>
      <c r="X5" s="4"/>
      <c r="Y5" s="117"/>
      <c r="Z5" s="128"/>
      <c r="AA5" s="128"/>
      <c r="AB5" s="118"/>
      <c r="AC5" s="4"/>
      <c r="AD5" s="128"/>
      <c r="AE5" s="719"/>
      <c r="AF5" s="119"/>
    </row>
    <row r="6" spans="1:32" ht="18" customHeight="1" x14ac:dyDescent="0.3">
      <c r="A6" s="20">
        <v>4</v>
      </c>
      <c r="B6" s="567" t="s">
        <v>460</v>
      </c>
      <c r="C6" s="720"/>
      <c r="D6" s="716"/>
      <c r="E6" s="4"/>
      <c r="F6" s="4"/>
      <c r="G6" s="716"/>
      <c r="H6" s="716"/>
      <c r="I6" s="716"/>
      <c r="J6" s="716"/>
      <c r="K6" s="716"/>
      <c r="L6" s="716"/>
      <c r="M6" s="716"/>
      <c r="N6" s="717"/>
      <c r="O6" s="716"/>
      <c r="P6" s="716"/>
      <c r="Q6" s="716"/>
      <c r="R6" s="716"/>
      <c r="S6" s="274"/>
      <c r="T6" s="4"/>
      <c r="U6" s="117"/>
      <c r="V6" s="118"/>
      <c r="W6" s="4"/>
      <c r="X6" s="4"/>
      <c r="Y6" s="117"/>
      <c r="Z6" s="128"/>
      <c r="AA6" s="128"/>
      <c r="AB6" s="718"/>
      <c r="AC6" s="4"/>
      <c r="AD6" s="128"/>
      <c r="AE6" s="719"/>
      <c r="AF6" s="119"/>
    </row>
    <row r="7" spans="1:32" ht="18" customHeight="1" x14ac:dyDescent="0.3">
      <c r="A7" s="20">
        <v>5</v>
      </c>
      <c r="B7" s="698" t="s">
        <v>461</v>
      </c>
      <c r="C7" s="309">
        <v>8</v>
      </c>
      <c r="D7" s="716"/>
      <c r="E7" s="4"/>
      <c r="F7" s="4"/>
      <c r="G7" s="716"/>
      <c r="H7" s="716"/>
      <c r="I7" s="716"/>
      <c r="J7" s="716"/>
      <c r="K7" s="716"/>
      <c r="L7" s="716"/>
      <c r="M7" s="716"/>
      <c r="N7" s="717"/>
      <c r="O7" s="716"/>
      <c r="P7" s="716"/>
      <c r="Q7" s="716"/>
      <c r="R7" s="716"/>
      <c r="S7" s="274"/>
      <c r="T7" s="4"/>
      <c r="U7" s="117"/>
      <c r="V7" s="118"/>
      <c r="W7" s="4"/>
      <c r="X7" s="4"/>
      <c r="Y7" s="117"/>
      <c r="Z7" s="128"/>
      <c r="AA7" s="128"/>
      <c r="AB7" s="118"/>
      <c r="AC7" s="4"/>
      <c r="AD7" s="128"/>
      <c r="AE7" s="719"/>
      <c r="AF7" s="119"/>
    </row>
    <row r="8" spans="1:32" ht="18" customHeight="1" x14ac:dyDescent="0.3">
      <c r="A8" s="20">
        <v>6</v>
      </c>
      <c r="B8" s="567" t="s">
        <v>462</v>
      </c>
      <c r="C8" s="309">
        <v>8</v>
      </c>
      <c r="D8" s="716"/>
      <c r="E8" s="4"/>
      <c r="F8" s="4"/>
      <c r="G8" s="716"/>
      <c r="H8" s="716"/>
      <c r="I8" s="716"/>
      <c r="J8" s="716"/>
      <c r="K8" s="716"/>
      <c r="L8" s="716"/>
      <c r="M8" s="716"/>
      <c r="N8" s="716"/>
      <c r="O8" s="716"/>
      <c r="P8" s="716"/>
      <c r="Q8" s="716"/>
      <c r="R8" s="716"/>
      <c r="S8" s="283"/>
      <c r="T8" s="4"/>
      <c r="U8" s="117"/>
      <c r="V8" s="118"/>
      <c r="W8" s="4"/>
      <c r="X8" s="4"/>
      <c r="Y8" s="117"/>
      <c r="Z8" s="128"/>
      <c r="AA8" s="128"/>
      <c r="AB8" s="718"/>
      <c r="AC8" s="4"/>
      <c r="AD8" s="128"/>
      <c r="AE8" s="719"/>
      <c r="AF8" s="119"/>
    </row>
    <row r="9" spans="1:32" ht="18" customHeight="1" x14ac:dyDescent="0.3">
      <c r="A9" s="20">
        <v>7</v>
      </c>
      <c r="B9" s="567" t="s">
        <v>463</v>
      </c>
      <c r="C9" s="309">
        <v>8</v>
      </c>
      <c r="D9" s="716"/>
      <c r="E9" s="4"/>
      <c r="F9" s="4"/>
      <c r="G9" s="716"/>
      <c r="H9" s="716"/>
      <c r="I9" s="716"/>
      <c r="J9" s="716"/>
      <c r="K9" s="716"/>
      <c r="L9" s="716"/>
      <c r="M9" s="716"/>
      <c r="N9" s="717"/>
      <c r="O9" s="716"/>
      <c r="P9" s="716"/>
      <c r="Q9" s="716"/>
      <c r="R9" s="716"/>
      <c r="S9" s="274"/>
      <c r="T9" s="4"/>
      <c r="U9" s="117"/>
      <c r="V9" s="118"/>
      <c r="W9" s="4"/>
      <c r="X9" s="4"/>
      <c r="Y9" s="117"/>
      <c r="Z9" s="128"/>
      <c r="AA9" s="128"/>
      <c r="AB9" s="118"/>
      <c r="AC9" s="4"/>
      <c r="AD9" s="128"/>
      <c r="AE9" s="719"/>
      <c r="AF9" s="119"/>
    </row>
    <row r="10" spans="1:32" ht="18" customHeight="1" x14ac:dyDescent="0.3">
      <c r="A10" s="20">
        <v>8</v>
      </c>
      <c r="B10" s="567" t="s">
        <v>464</v>
      </c>
      <c r="C10" s="309" t="s">
        <v>474</v>
      </c>
      <c r="D10" s="716"/>
      <c r="E10" s="4"/>
      <c r="F10" s="4"/>
      <c r="G10" s="716"/>
      <c r="H10" s="716"/>
      <c r="I10" s="716"/>
      <c r="J10" s="716"/>
      <c r="K10" s="716"/>
      <c r="L10" s="716"/>
      <c r="M10" s="716"/>
      <c r="N10" s="716"/>
      <c r="O10" s="716"/>
      <c r="P10" s="716"/>
      <c r="Q10" s="716"/>
      <c r="R10" s="716"/>
      <c r="S10" s="274"/>
      <c r="T10" s="4"/>
      <c r="U10" s="117"/>
      <c r="V10" s="118"/>
      <c r="W10" s="4"/>
      <c r="X10" s="4"/>
      <c r="Y10" s="117"/>
      <c r="Z10" s="128"/>
      <c r="AA10" s="128"/>
      <c r="AB10" s="718"/>
      <c r="AC10" s="4"/>
      <c r="AD10" s="128"/>
      <c r="AE10" s="722"/>
      <c r="AF10" s="119"/>
    </row>
    <row r="11" spans="1:32" ht="18" customHeight="1" x14ac:dyDescent="0.3">
      <c r="A11" s="20">
        <v>9</v>
      </c>
      <c r="B11" s="567" t="s">
        <v>465</v>
      </c>
      <c r="C11" s="309"/>
      <c r="D11" s="716"/>
      <c r="E11" s="4"/>
      <c r="F11" s="4"/>
      <c r="G11" s="716"/>
      <c r="H11" s="716"/>
      <c r="I11" s="716"/>
      <c r="J11" s="716"/>
      <c r="K11" s="716"/>
      <c r="L11" s="716"/>
      <c r="M11" s="716"/>
      <c r="N11" s="716"/>
      <c r="O11" s="716"/>
      <c r="P11" s="716"/>
      <c r="Q11" s="716"/>
      <c r="R11" s="716"/>
      <c r="S11" s="274"/>
      <c r="T11" s="4"/>
      <c r="U11" s="117"/>
      <c r="V11" s="118"/>
      <c r="W11" s="4"/>
      <c r="X11" s="4"/>
      <c r="Y11" s="117"/>
      <c r="Z11" s="128"/>
      <c r="AA11" s="128"/>
      <c r="AB11" s="118"/>
      <c r="AC11" s="4"/>
      <c r="AD11" s="128"/>
      <c r="AE11" s="719"/>
      <c r="AF11" s="119"/>
    </row>
    <row r="12" spans="1:32" ht="18" customHeight="1" x14ac:dyDescent="0.3">
      <c r="A12" s="20">
        <v>10</v>
      </c>
      <c r="B12" s="567" t="s">
        <v>466</v>
      </c>
      <c r="C12" s="309" t="s">
        <v>474</v>
      </c>
      <c r="D12" s="723"/>
      <c r="E12" s="4"/>
      <c r="F12" s="4"/>
      <c r="G12" s="716"/>
      <c r="H12" s="716"/>
      <c r="I12" s="716"/>
      <c r="J12" s="716"/>
      <c r="K12" s="716"/>
      <c r="L12" s="716"/>
      <c r="M12" s="716"/>
      <c r="N12" s="724"/>
      <c r="O12" s="716"/>
      <c r="P12" s="724"/>
      <c r="Q12" s="724"/>
      <c r="R12" s="724"/>
      <c r="S12" s="283"/>
      <c r="T12" s="4"/>
      <c r="U12" s="117"/>
      <c r="V12" s="118"/>
      <c r="W12" s="4"/>
      <c r="X12" s="4"/>
      <c r="Y12" s="117"/>
      <c r="Z12" s="128"/>
      <c r="AA12" s="128"/>
      <c r="AB12" s="118"/>
      <c r="AC12" s="4"/>
      <c r="AD12" s="128"/>
      <c r="AE12" s="719"/>
      <c r="AF12" s="119"/>
    </row>
    <row r="13" spans="1:32" ht="18" customHeight="1" x14ac:dyDescent="0.3">
      <c r="A13" s="20">
        <v>11</v>
      </c>
      <c r="B13" s="567" t="s">
        <v>467</v>
      </c>
      <c r="C13" s="309"/>
      <c r="D13" s="716"/>
      <c r="E13" s="4"/>
      <c r="F13" s="4"/>
      <c r="G13" s="716"/>
      <c r="H13" s="716"/>
      <c r="I13" s="716"/>
      <c r="J13" s="716"/>
      <c r="K13" s="716"/>
      <c r="L13" s="716"/>
      <c r="M13" s="716"/>
      <c r="N13" s="716"/>
      <c r="O13" s="716"/>
      <c r="P13" s="716"/>
      <c r="Q13" s="716"/>
      <c r="R13" s="716"/>
      <c r="S13" s="274"/>
      <c r="T13" s="4"/>
      <c r="U13" s="117"/>
      <c r="V13" s="118"/>
      <c r="W13" s="4"/>
      <c r="X13" s="4"/>
      <c r="Y13" s="117"/>
      <c r="Z13" s="128"/>
      <c r="AA13" s="128"/>
      <c r="AB13" s="118"/>
      <c r="AC13" s="4"/>
      <c r="AD13" s="128"/>
      <c r="AE13" s="719"/>
      <c r="AF13" s="119"/>
    </row>
    <row r="14" spans="1:32" ht="18" customHeight="1" x14ac:dyDescent="0.3">
      <c r="A14" s="20">
        <v>12</v>
      </c>
      <c r="B14" s="567" t="s">
        <v>468</v>
      </c>
      <c r="C14" s="309">
        <v>5</v>
      </c>
      <c r="D14" s="716"/>
      <c r="E14" s="4"/>
      <c r="F14" s="4"/>
      <c r="G14" s="716"/>
      <c r="H14" s="716"/>
      <c r="I14" s="716"/>
      <c r="J14" s="716"/>
      <c r="K14" s="716"/>
      <c r="L14" s="716"/>
      <c r="M14" s="716"/>
      <c r="N14" s="716"/>
      <c r="O14" s="716"/>
      <c r="P14" s="716"/>
      <c r="Q14" s="716"/>
      <c r="R14" s="716"/>
      <c r="S14" s="496"/>
      <c r="T14" s="4"/>
      <c r="U14" s="117"/>
      <c r="V14" s="118"/>
      <c r="W14" s="4"/>
      <c r="X14" s="4"/>
      <c r="Y14" s="117"/>
      <c r="Z14" s="128"/>
      <c r="AA14" s="128"/>
      <c r="AB14" s="718"/>
      <c r="AC14" s="4"/>
      <c r="AD14" s="128"/>
      <c r="AE14" s="722"/>
      <c r="AF14" s="119"/>
    </row>
    <row r="15" spans="1:32" ht="18" customHeight="1" x14ac:dyDescent="0.3">
      <c r="A15" s="20">
        <v>13</v>
      </c>
      <c r="B15" s="567" t="s">
        <v>469</v>
      </c>
      <c r="C15" s="309">
        <v>8</v>
      </c>
      <c r="D15" s="716"/>
      <c r="E15" s="4"/>
      <c r="F15" s="4"/>
      <c r="G15" s="716"/>
      <c r="H15" s="716"/>
      <c r="I15" s="716"/>
      <c r="J15" s="716"/>
      <c r="K15" s="716"/>
      <c r="L15" s="716"/>
      <c r="M15" s="716"/>
      <c r="N15" s="716"/>
      <c r="O15" s="716"/>
      <c r="P15" s="716"/>
      <c r="Q15" s="716"/>
      <c r="R15" s="716"/>
      <c r="S15" s="274"/>
      <c r="T15" s="4"/>
      <c r="U15" s="117"/>
      <c r="V15" s="118"/>
      <c r="W15" s="4"/>
      <c r="X15" s="4"/>
      <c r="Y15" s="117"/>
      <c r="Z15" s="128"/>
      <c r="AA15" s="128"/>
      <c r="AB15" s="118"/>
      <c r="AC15" s="4"/>
      <c r="AD15" s="128"/>
      <c r="AE15" s="725"/>
      <c r="AF15" s="119"/>
    </row>
    <row r="16" spans="1:32" ht="18" customHeight="1" x14ac:dyDescent="0.3">
      <c r="A16" s="20">
        <v>14</v>
      </c>
      <c r="B16" s="567" t="s">
        <v>470</v>
      </c>
      <c r="C16" s="309">
        <v>8</v>
      </c>
      <c r="D16" s="716"/>
      <c r="E16" s="4"/>
      <c r="F16" s="4"/>
      <c r="G16" s="716"/>
      <c r="H16" s="716"/>
      <c r="I16" s="716"/>
      <c r="J16" s="716"/>
      <c r="K16" s="716"/>
      <c r="L16" s="716"/>
      <c r="M16" s="716"/>
      <c r="N16" s="716"/>
      <c r="O16" s="716"/>
      <c r="P16" s="716"/>
      <c r="Q16" s="716"/>
      <c r="R16" s="716"/>
      <c r="S16" s="283"/>
      <c r="T16" s="4"/>
      <c r="U16" s="117"/>
      <c r="V16" s="118"/>
      <c r="W16" s="4"/>
      <c r="X16" s="4"/>
      <c r="Y16" s="117"/>
      <c r="Z16" s="128"/>
      <c r="AA16" s="128"/>
      <c r="AB16" s="118"/>
      <c r="AC16" s="4"/>
      <c r="AD16" s="128"/>
      <c r="AE16" s="719"/>
      <c r="AF16" s="119"/>
    </row>
    <row r="17" spans="1:32" ht="18" customHeight="1" x14ac:dyDescent="0.3">
      <c r="A17" s="20">
        <v>15</v>
      </c>
      <c r="B17" s="567" t="s">
        <v>442</v>
      </c>
      <c r="C17" s="309">
        <v>8</v>
      </c>
      <c r="D17" s="716"/>
      <c r="E17" s="4"/>
      <c r="F17" s="4"/>
      <c r="G17" s="716"/>
      <c r="H17" s="716"/>
      <c r="I17" s="716"/>
      <c r="J17" s="716"/>
      <c r="K17" s="716"/>
      <c r="L17" s="716"/>
      <c r="M17" s="716"/>
      <c r="N17" s="716"/>
      <c r="O17" s="716"/>
      <c r="P17" s="716"/>
      <c r="Q17" s="716"/>
      <c r="R17" s="716"/>
      <c r="S17" s="283"/>
      <c r="T17" s="4"/>
      <c r="U17" s="117"/>
      <c r="V17" s="118"/>
      <c r="W17" s="4"/>
      <c r="X17" s="4"/>
      <c r="Y17" s="117"/>
      <c r="Z17" s="128"/>
      <c r="AA17" s="128"/>
      <c r="AB17" s="718"/>
      <c r="AC17" s="4"/>
      <c r="AD17" s="128"/>
      <c r="AE17" s="719"/>
      <c r="AF17" s="119"/>
    </row>
    <row r="18" spans="1:32" ht="18" customHeight="1" x14ac:dyDescent="0.3">
      <c r="A18" s="20">
        <v>16</v>
      </c>
      <c r="B18" s="567" t="s">
        <v>443</v>
      </c>
      <c r="C18" s="309">
        <v>7</v>
      </c>
      <c r="D18" s="716"/>
      <c r="E18" s="4"/>
      <c r="F18" s="4"/>
      <c r="G18" s="716"/>
      <c r="H18" s="716"/>
      <c r="I18" s="716"/>
      <c r="J18" s="716"/>
      <c r="K18" s="716"/>
      <c r="L18" s="716"/>
      <c r="M18" s="716"/>
      <c r="N18" s="716"/>
      <c r="O18" s="716"/>
      <c r="P18" s="716"/>
      <c r="Q18" s="716"/>
      <c r="R18" s="716"/>
      <c r="S18" s="274"/>
      <c r="T18" s="4"/>
      <c r="U18" s="117"/>
      <c r="V18" s="118"/>
      <c r="W18" s="4"/>
      <c r="X18" s="4"/>
      <c r="Y18" s="117"/>
      <c r="Z18" s="128"/>
      <c r="AA18" s="128"/>
      <c r="AB18" s="118"/>
      <c r="AC18" s="4"/>
      <c r="AD18" s="128"/>
      <c r="AE18" s="719"/>
      <c r="AF18" s="119"/>
    </row>
    <row r="19" spans="1:32" ht="18" customHeight="1" x14ac:dyDescent="0.3">
      <c r="A19" s="20">
        <v>17</v>
      </c>
      <c r="B19" s="567" t="s">
        <v>444</v>
      </c>
      <c r="C19" s="309">
        <v>8</v>
      </c>
      <c r="D19" s="716"/>
      <c r="E19" s="4"/>
      <c r="F19" s="4"/>
      <c r="G19" s="716"/>
      <c r="H19" s="716"/>
      <c r="I19" s="716"/>
      <c r="J19" s="716"/>
      <c r="K19" s="716"/>
      <c r="L19" s="726"/>
      <c r="M19" s="726"/>
      <c r="N19" s="716"/>
      <c r="O19" s="716"/>
      <c r="P19" s="716"/>
      <c r="Q19" s="716"/>
      <c r="R19" s="716"/>
      <c r="S19" s="283"/>
      <c r="T19" s="4"/>
      <c r="U19" s="117"/>
      <c r="V19" s="118"/>
      <c r="W19" s="4"/>
      <c r="X19" s="4"/>
      <c r="Y19" s="117"/>
      <c r="Z19" s="727"/>
      <c r="AA19" s="128"/>
      <c r="AB19" s="118"/>
      <c r="AC19" s="4"/>
      <c r="AD19" s="128"/>
      <c r="AE19" s="719"/>
      <c r="AF19" s="119"/>
    </row>
    <row r="20" spans="1:32" ht="18" customHeight="1" x14ac:dyDescent="0.3">
      <c r="A20" s="20">
        <v>18</v>
      </c>
      <c r="B20" s="567" t="s">
        <v>445</v>
      </c>
      <c r="C20" s="309"/>
      <c r="D20" s="716"/>
      <c r="E20" s="4"/>
      <c r="F20" s="4"/>
      <c r="G20" s="716"/>
      <c r="H20" s="716"/>
      <c r="I20" s="716"/>
      <c r="J20" s="716"/>
      <c r="K20" s="716"/>
      <c r="L20" s="726"/>
      <c r="M20" s="716"/>
      <c r="N20" s="716"/>
      <c r="O20" s="716"/>
      <c r="P20" s="716"/>
      <c r="Q20" s="716"/>
      <c r="R20" s="716"/>
      <c r="S20" s="283"/>
      <c r="T20" s="4"/>
      <c r="U20" s="117"/>
      <c r="V20" s="118"/>
      <c r="W20" s="4"/>
      <c r="X20" s="4"/>
      <c r="Y20" s="117"/>
      <c r="Z20" s="128"/>
      <c r="AA20" s="128"/>
      <c r="AB20" s="118"/>
      <c r="AC20" s="4"/>
      <c r="AD20" s="128"/>
      <c r="AE20" s="719"/>
      <c r="AF20" s="119"/>
    </row>
    <row r="21" spans="1:32" ht="18" customHeight="1" x14ac:dyDescent="0.3">
      <c r="A21" s="20">
        <v>19</v>
      </c>
      <c r="B21" s="567" t="s">
        <v>446</v>
      </c>
      <c r="C21" s="728">
        <v>8</v>
      </c>
      <c r="D21" s="716"/>
      <c r="E21" s="4"/>
      <c r="F21" s="4"/>
      <c r="G21" s="716"/>
      <c r="H21" s="716"/>
      <c r="I21" s="716"/>
      <c r="J21" s="716"/>
      <c r="K21" s="716"/>
      <c r="L21" s="716"/>
      <c r="M21" s="716"/>
      <c r="N21" s="716"/>
      <c r="O21" s="716"/>
      <c r="P21" s="716"/>
      <c r="Q21" s="716"/>
      <c r="R21" s="716"/>
      <c r="S21" s="283"/>
      <c r="T21" s="4"/>
      <c r="U21" s="117"/>
      <c r="V21" s="118"/>
      <c r="W21" s="4"/>
      <c r="X21" s="4"/>
      <c r="Y21" s="117"/>
      <c r="Z21" s="128"/>
      <c r="AA21" s="128"/>
      <c r="AB21" s="118"/>
      <c r="AC21" s="4"/>
      <c r="AD21" s="128"/>
      <c r="AE21" s="719"/>
      <c r="AF21" s="119"/>
    </row>
    <row r="22" spans="1:32" ht="18" customHeight="1" x14ac:dyDescent="0.3">
      <c r="A22" s="20">
        <v>20</v>
      </c>
      <c r="B22" s="696" t="s">
        <v>447</v>
      </c>
      <c r="C22" s="309">
        <v>0</v>
      </c>
      <c r="D22" s="716"/>
      <c r="E22" s="4"/>
      <c r="F22" s="4"/>
      <c r="G22" s="716"/>
      <c r="H22" s="716"/>
      <c r="I22" s="716"/>
      <c r="J22" s="716"/>
      <c r="K22" s="716"/>
      <c r="L22" s="726"/>
      <c r="M22" s="726"/>
      <c r="N22" s="716"/>
      <c r="O22" s="716"/>
      <c r="P22" s="716"/>
      <c r="Q22" s="716"/>
      <c r="R22" s="716"/>
      <c r="S22" s="283"/>
      <c r="T22" s="4"/>
      <c r="U22" s="117"/>
      <c r="V22" s="118"/>
      <c r="W22" s="4"/>
      <c r="X22" s="4"/>
      <c r="Y22" s="117"/>
      <c r="Z22" s="128"/>
      <c r="AA22" s="128"/>
      <c r="AB22" s="118"/>
      <c r="AC22" s="4"/>
      <c r="AD22" s="128"/>
      <c r="AE22" s="719"/>
      <c r="AF22" s="119"/>
    </row>
    <row r="23" spans="1:32" ht="18" customHeight="1" x14ac:dyDescent="0.3">
      <c r="A23" s="20">
        <v>21</v>
      </c>
      <c r="B23" s="567" t="s">
        <v>448</v>
      </c>
      <c r="C23" s="729">
        <v>0</v>
      </c>
      <c r="D23" s="716"/>
      <c r="E23" s="4"/>
      <c r="F23" s="4"/>
      <c r="G23" s="716"/>
      <c r="H23" s="716"/>
      <c r="I23" s="716"/>
      <c r="J23" s="716"/>
      <c r="K23" s="716"/>
      <c r="L23" s="716"/>
      <c r="M23" s="716"/>
      <c r="N23" s="716"/>
      <c r="O23" s="716"/>
      <c r="P23" s="716"/>
      <c r="Q23" s="716"/>
      <c r="R23" s="716"/>
      <c r="S23" s="274"/>
      <c r="T23" s="4"/>
      <c r="U23" s="117"/>
      <c r="V23" s="118"/>
      <c r="W23" s="4"/>
      <c r="X23" s="4"/>
      <c r="Y23" s="117"/>
      <c r="Z23" s="128"/>
      <c r="AA23" s="128"/>
      <c r="AB23" s="118"/>
      <c r="AC23" s="4"/>
      <c r="AD23" s="128"/>
      <c r="AE23" s="722"/>
      <c r="AF23" s="119"/>
    </row>
    <row r="24" spans="1:32" ht="18" customHeight="1" x14ac:dyDescent="0.3">
      <c r="A24" s="20">
        <v>22</v>
      </c>
      <c r="B24" s="697" t="s">
        <v>449</v>
      </c>
      <c r="C24" s="309" t="s">
        <v>474</v>
      </c>
      <c r="D24" s="716"/>
      <c r="E24" s="4"/>
      <c r="F24" s="4"/>
      <c r="G24" s="716"/>
      <c r="H24" s="716"/>
      <c r="I24" s="716"/>
      <c r="J24" s="716"/>
      <c r="K24" s="716"/>
      <c r="L24" s="716"/>
      <c r="M24" s="716"/>
      <c r="N24" s="716"/>
      <c r="O24" s="716"/>
      <c r="P24" s="716"/>
      <c r="Q24" s="716"/>
      <c r="R24" s="716"/>
      <c r="S24" s="283"/>
      <c r="T24" s="4"/>
      <c r="U24" s="117"/>
      <c r="V24" s="118"/>
      <c r="W24" s="4"/>
      <c r="X24" s="4"/>
      <c r="Y24" s="117"/>
      <c r="Z24" s="128"/>
      <c r="AA24" s="128"/>
      <c r="AB24" s="118"/>
      <c r="AC24" s="4"/>
      <c r="AD24" s="128"/>
      <c r="AE24" s="719"/>
      <c r="AF24" s="119"/>
    </row>
    <row r="25" spans="1:32" ht="18" customHeight="1" x14ac:dyDescent="0.3">
      <c r="A25" s="20">
        <v>23</v>
      </c>
      <c r="B25" s="567" t="s">
        <v>450</v>
      </c>
      <c r="C25" s="309">
        <v>2</v>
      </c>
      <c r="D25" s="716"/>
      <c r="E25" s="4"/>
      <c r="F25" s="4"/>
      <c r="G25" s="716"/>
      <c r="H25" s="716"/>
      <c r="I25" s="716"/>
      <c r="J25" s="716"/>
      <c r="K25" s="716"/>
      <c r="L25" s="716"/>
      <c r="M25" s="716"/>
      <c r="N25" s="716"/>
      <c r="O25" s="716"/>
      <c r="P25" s="716"/>
      <c r="Q25" s="716"/>
      <c r="R25" s="716"/>
      <c r="S25" s="283"/>
      <c r="T25" s="4"/>
      <c r="U25" s="117"/>
      <c r="V25" s="118"/>
      <c r="W25" s="4"/>
      <c r="X25" s="4"/>
      <c r="Y25" s="117"/>
      <c r="Z25" s="128"/>
      <c r="AA25" s="128"/>
      <c r="AB25" s="118"/>
      <c r="AC25" s="4"/>
      <c r="AD25" s="128"/>
      <c r="AE25" s="719"/>
      <c r="AF25" s="119"/>
    </row>
    <row r="26" spans="1:32" ht="18" customHeight="1" x14ac:dyDescent="0.3">
      <c r="A26" s="20">
        <v>24</v>
      </c>
      <c r="B26" s="567" t="s">
        <v>451</v>
      </c>
      <c r="C26" s="309">
        <v>8</v>
      </c>
      <c r="D26" s="716"/>
      <c r="E26" s="4"/>
      <c r="F26" s="4"/>
      <c r="G26" s="716"/>
      <c r="H26" s="716"/>
      <c r="I26" s="716"/>
      <c r="J26" s="716"/>
      <c r="K26" s="716"/>
      <c r="L26" s="716"/>
      <c r="M26" s="716"/>
      <c r="N26" s="716"/>
      <c r="O26" s="716"/>
      <c r="P26" s="716"/>
      <c r="Q26" s="716"/>
      <c r="R26" s="716"/>
      <c r="S26" s="274"/>
      <c r="T26" s="4"/>
      <c r="U26" s="117"/>
      <c r="V26" s="118"/>
      <c r="W26" s="4"/>
      <c r="X26" s="4"/>
      <c r="Y26" s="117"/>
      <c r="Z26" s="128"/>
      <c r="AA26" s="128"/>
      <c r="AB26" s="118"/>
      <c r="AC26" s="4"/>
      <c r="AD26" s="128"/>
      <c r="AE26" s="719"/>
      <c r="AF26" s="119"/>
    </row>
    <row r="27" spans="1:32" ht="18" customHeight="1" x14ac:dyDescent="0.3">
      <c r="A27" s="20">
        <v>25</v>
      </c>
      <c r="B27" s="567" t="s">
        <v>452</v>
      </c>
      <c r="C27" s="309">
        <v>8</v>
      </c>
      <c r="D27" s="716"/>
      <c r="E27" s="4"/>
      <c r="F27" s="4"/>
      <c r="G27" s="716"/>
      <c r="H27" s="716"/>
      <c r="I27" s="716"/>
      <c r="J27" s="716"/>
      <c r="K27" s="716"/>
      <c r="L27" s="716"/>
      <c r="M27" s="716"/>
      <c r="N27" s="716"/>
      <c r="O27" s="716"/>
      <c r="P27" s="716"/>
      <c r="Q27" s="716"/>
      <c r="R27" s="716"/>
      <c r="S27" s="283"/>
      <c r="T27" s="4"/>
      <c r="U27" s="117"/>
      <c r="V27" s="118"/>
      <c r="W27" s="4"/>
      <c r="X27" s="4"/>
      <c r="Y27" s="117"/>
      <c r="Z27" s="128"/>
      <c r="AA27" s="128"/>
      <c r="AB27" s="118"/>
      <c r="AC27" s="4"/>
      <c r="AD27" s="128"/>
      <c r="AE27" s="719"/>
      <c r="AF27" s="119"/>
    </row>
    <row r="28" spans="1:32" ht="18" customHeight="1" x14ac:dyDescent="0.3">
      <c r="A28" s="20">
        <v>26</v>
      </c>
      <c r="B28" s="567" t="s">
        <v>453</v>
      </c>
      <c r="C28" s="309">
        <v>0</v>
      </c>
      <c r="D28" s="716"/>
      <c r="E28" s="4"/>
      <c r="F28" s="4"/>
      <c r="G28" s="716"/>
      <c r="H28" s="716"/>
      <c r="I28" s="716"/>
      <c r="J28" s="716"/>
      <c r="K28" s="716"/>
      <c r="L28" s="716"/>
      <c r="M28" s="716"/>
      <c r="N28" s="716"/>
      <c r="O28" s="716"/>
      <c r="P28" s="716"/>
      <c r="Q28" s="716"/>
      <c r="R28" s="716"/>
      <c r="S28" s="274"/>
      <c r="T28" s="4"/>
      <c r="U28" s="117"/>
      <c r="V28" s="118"/>
      <c r="W28" s="4"/>
      <c r="X28" s="4"/>
      <c r="Y28" s="117"/>
      <c r="Z28" s="128"/>
      <c r="AA28" s="128"/>
      <c r="AB28" s="730"/>
      <c r="AC28" s="4"/>
      <c r="AD28" s="128"/>
      <c r="AE28" s="719"/>
      <c r="AF28" s="119"/>
    </row>
    <row r="29" spans="1:32" ht="18" customHeight="1" x14ac:dyDescent="0.3">
      <c r="A29" s="20">
        <v>27</v>
      </c>
      <c r="B29" s="567" t="s">
        <v>454</v>
      </c>
      <c r="C29" s="309">
        <v>8</v>
      </c>
      <c r="D29" s="716"/>
      <c r="E29" s="4"/>
      <c r="F29" s="4"/>
      <c r="G29" s="716"/>
      <c r="H29" s="716"/>
      <c r="I29" s="716"/>
      <c r="J29" s="716"/>
      <c r="K29" s="716"/>
      <c r="L29" s="716"/>
      <c r="M29" s="716"/>
      <c r="N29" s="716"/>
      <c r="O29" s="716"/>
      <c r="P29" s="716"/>
      <c r="Q29" s="716"/>
      <c r="R29" s="716"/>
      <c r="S29" s="274"/>
      <c r="T29" s="4"/>
      <c r="U29" s="117"/>
      <c r="V29" s="118"/>
      <c r="W29" s="4"/>
      <c r="X29" s="4"/>
      <c r="Y29" s="117"/>
      <c r="Z29" s="128"/>
      <c r="AA29" s="128"/>
      <c r="AB29" s="118"/>
      <c r="AC29" s="4"/>
      <c r="AD29" s="128"/>
      <c r="AE29" s="719"/>
      <c r="AF29" s="119"/>
    </row>
    <row r="30" spans="1:32" ht="18" customHeight="1" x14ac:dyDescent="0.3">
      <c r="A30" s="20">
        <v>28</v>
      </c>
      <c r="B30" s="567" t="s">
        <v>455</v>
      </c>
      <c r="C30" s="731">
        <v>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283"/>
      <c r="T30" s="4"/>
      <c r="U30" s="117"/>
      <c r="V30" s="118"/>
      <c r="W30" s="4"/>
      <c r="X30" s="4"/>
      <c r="Y30" s="117"/>
      <c r="Z30" s="128"/>
      <c r="AA30" s="128"/>
      <c r="AB30" s="118"/>
      <c r="AC30" s="4"/>
      <c r="AD30" s="128"/>
      <c r="AE30" s="719"/>
      <c r="AF30" s="119"/>
    </row>
    <row r="31" spans="1:32" ht="18" customHeight="1" x14ac:dyDescent="0.3">
      <c r="A31" s="23">
        <v>29</v>
      </c>
      <c r="B31" s="567" t="s">
        <v>456</v>
      </c>
      <c r="C31" s="731">
        <v>8</v>
      </c>
      <c r="D31" s="128"/>
      <c r="E31" s="4"/>
      <c r="F31" s="4"/>
      <c r="G31" s="4"/>
      <c r="H31" s="4"/>
      <c r="I31" s="4"/>
      <c r="J31" s="4"/>
      <c r="K31" s="4"/>
      <c r="L31" s="4"/>
      <c r="M31" s="4"/>
      <c r="N31" s="4"/>
      <c r="O31" s="98"/>
      <c r="P31" s="98"/>
      <c r="Q31" s="98"/>
      <c r="R31" s="98"/>
      <c r="S31" s="4"/>
      <c r="T31" s="128"/>
      <c r="U31" s="128"/>
      <c r="V31" s="128"/>
      <c r="W31" s="3"/>
      <c r="X31" s="128"/>
      <c r="Y31" s="3"/>
      <c r="Z31" s="128"/>
      <c r="AA31" s="128"/>
      <c r="AB31" s="718"/>
      <c r="AC31" s="4"/>
      <c r="AD31" s="128"/>
      <c r="AE31" s="719"/>
      <c r="AF31" s="119"/>
    </row>
    <row r="32" spans="1:32" x14ac:dyDescent="0.3">
      <c r="C32" s="119"/>
      <c r="D32" s="119"/>
      <c r="E32" s="732"/>
      <c r="F32" s="732"/>
      <c r="G32" s="732"/>
      <c r="H32" s="732"/>
      <c r="I32" s="732"/>
      <c r="J32" s="732"/>
      <c r="K32" s="732"/>
      <c r="L32" s="733"/>
      <c r="M32" s="733"/>
      <c r="N32" s="733"/>
      <c r="O32" s="733"/>
      <c r="P32" s="733"/>
      <c r="Q32" s="733"/>
      <c r="R32" s="733"/>
      <c r="S32" s="732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</row>
    <row r="33" spans="3:32" ht="15.6" x14ac:dyDescent="0.3">
      <c r="C33" s="119"/>
      <c r="D33" s="119"/>
      <c r="E33" s="732"/>
      <c r="F33" s="732"/>
      <c r="G33" s="732"/>
      <c r="H33" s="732"/>
      <c r="I33" s="732"/>
      <c r="J33" s="732"/>
      <c r="K33" s="732"/>
      <c r="L33" s="733"/>
      <c r="M33" s="733"/>
      <c r="N33" s="733"/>
      <c r="O33" s="733"/>
      <c r="P33" s="733"/>
      <c r="Q33" s="733"/>
      <c r="R33" s="733"/>
      <c r="S33" s="732"/>
      <c r="T33" s="119"/>
      <c r="U33" s="119"/>
      <c r="V33" s="119"/>
      <c r="W33" s="734"/>
      <c r="X33" s="119"/>
      <c r="Y33" s="735"/>
      <c r="Z33" s="119"/>
      <c r="AA33" s="119"/>
      <c r="AB33" s="736"/>
      <c r="AC33" s="119"/>
      <c r="AD33" s="119"/>
      <c r="AE33" s="119"/>
      <c r="AF33" s="119"/>
    </row>
  </sheetData>
  <sortState ref="A5:D32">
    <sortCondition ref="B5"/>
  </sortState>
  <mergeCells count="3">
    <mergeCell ref="A1:W1"/>
    <mergeCell ref="W2:X2"/>
    <mergeCell ref="E2:K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1"/>
  <sheetViews>
    <sheetView workbookViewId="0">
      <selection activeCell="D37" sqref="D37"/>
    </sheetView>
  </sheetViews>
  <sheetFormatPr baseColWidth="10" defaultRowHeight="14.4" x14ac:dyDescent="0.3"/>
  <cols>
    <col min="1" max="1" width="4.5546875" customWidth="1"/>
    <col min="2" max="2" width="23" customWidth="1"/>
  </cols>
  <sheetData>
    <row r="1" spans="1:14" ht="15.6" customHeight="1" x14ac:dyDescent="0.4">
      <c r="A1" s="830" t="s">
        <v>122</v>
      </c>
      <c r="B1" s="830"/>
      <c r="C1" s="830"/>
      <c r="D1" s="830"/>
      <c r="E1" s="830"/>
      <c r="F1" s="830"/>
      <c r="G1" s="830"/>
    </row>
    <row r="2" spans="1:14" ht="14.4" customHeight="1" x14ac:dyDescent="0.3">
      <c r="A2" s="822" t="s">
        <v>36</v>
      </c>
      <c r="B2" s="822" t="s">
        <v>35</v>
      </c>
      <c r="C2" s="831" t="s">
        <v>41</v>
      </c>
      <c r="D2" s="831"/>
      <c r="E2" s="831"/>
      <c r="F2" s="831"/>
      <c r="G2" s="831"/>
    </row>
    <row r="3" spans="1:14" ht="14.4" customHeight="1" x14ac:dyDescent="0.3">
      <c r="A3" s="822"/>
      <c r="B3" s="822"/>
      <c r="C3" s="67" t="s">
        <v>46</v>
      </c>
      <c r="D3" s="67" t="s">
        <v>42</v>
      </c>
      <c r="E3" s="67" t="s">
        <v>43</v>
      </c>
      <c r="F3" s="67" t="s">
        <v>44</v>
      </c>
      <c r="G3" s="67" t="s">
        <v>45</v>
      </c>
      <c r="H3" s="68" t="s">
        <v>47</v>
      </c>
      <c r="L3" s="23" t="s">
        <v>159</v>
      </c>
      <c r="M3" s="23" t="s">
        <v>160</v>
      </c>
      <c r="N3" s="23" t="s">
        <v>161</v>
      </c>
    </row>
    <row r="4" spans="1:14" ht="21" customHeight="1" x14ac:dyDescent="0.3">
      <c r="A4" s="33">
        <v>1</v>
      </c>
      <c r="B4" s="5" t="s">
        <v>92</v>
      </c>
      <c r="C4" s="3"/>
      <c r="D4" s="3"/>
      <c r="E4" s="3"/>
      <c r="F4" s="3"/>
      <c r="G4" s="3"/>
      <c r="H4" s="117"/>
      <c r="I4" s="118"/>
      <c r="L4" s="20" t="s">
        <v>162</v>
      </c>
      <c r="M4" s="20">
        <v>2</v>
      </c>
      <c r="N4" s="20">
        <v>40</v>
      </c>
    </row>
    <row r="5" spans="1:14" ht="21" customHeight="1" x14ac:dyDescent="0.3">
      <c r="A5" s="34">
        <v>2</v>
      </c>
      <c r="B5" s="36" t="s">
        <v>93</v>
      </c>
      <c r="C5" s="3"/>
      <c r="D5" s="3"/>
      <c r="E5" s="3"/>
      <c r="F5" s="3"/>
      <c r="G5" s="3"/>
      <c r="H5" s="117"/>
      <c r="I5" s="118"/>
      <c r="L5" s="20" t="s">
        <v>163</v>
      </c>
      <c r="M5" s="20">
        <v>4</v>
      </c>
      <c r="N5" s="20">
        <v>20</v>
      </c>
    </row>
    <row r="6" spans="1:14" ht="21" customHeight="1" x14ac:dyDescent="0.3">
      <c r="A6" s="35">
        <v>3</v>
      </c>
      <c r="B6" s="5" t="s">
        <v>94</v>
      </c>
      <c r="C6" s="3"/>
      <c r="D6" s="3"/>
      <c r="E6" s="3"/>
      <c r="F6" s="3"/>
      <c r="G6" s="3"/>
      <c r="H6" s="117"/>
      <c r="I6" s="118"/>
      <c r="L6" s="20" t="s">
        <v>163</v>
      </c>
      <c r="M6" s="20">
        <v>45</v>
      </c>
      <c r="N6" s="20">
        <v>20</v>
      </c>
    </row>
    <row r="7" spans="1:14" ht="21" customHeight="1" x14ac:dyDescent="0.3">
      <c r="A7" s="33">
        <v>4</v>
      </c>
      <c r="B7" s="36" t="s">
        <v>95</v>
      </c>
      <c r="C7" s="3"/>
      <c r="D7" s="3"/>
      <c r="E7" s="3"/>
      <c r="F7" s="3"/>
      <c r="G7" s="3"/>
      <c r="H7" s="117"/>
      <c r="I7" s="118"/>
      <c r="L7" s="20" t="s">
        <v>164</v>
      </c>
      <c r="M7" s="20">
        <v>283</v>
      </c>
      <c r="N7" s="20">
        <v>20</v>
      </c>
    </row>
    <row r="8" spans="1:14" ht="21" customHeight="1" x14ac:dyDescent="0.3">
      <c r="A8" s="34">
        <v>5</v>
      </c>
      <c r="B8" s="5" t="s">
        <v>96</v>
      </c>
      <c r="C8" s="3"/>
      <c r="D8" s="3"/>
      <c r="E8" s="3"/>
      <c r="F8" s="3"/>
      <c r="G8" s="3"/>
      <c r="H8" s="117"/>
      <c r="I8" s="118"/>
      <c r="L8" s="20"/>
      <c r="M8" s="20"/>
      <c r="N8" s="20"/>
    </row>
    <row r="9" spans="1:14" ht="21" customHeight="1" x14ac:dyDescent="0.3">
      <c r="A9" s="35">
        <v>6</v>
      </c>
      <c r="B9" s="5" t="s">
        <v>97</v>
      </c>
      <c r="C9" s="3"/>
      <c r="D9" s="3"/>
      <c r="E9" s="3"/>
      <c r="F9" s="3"/>
      <c r="G9" s="3"/>
      <c r="H9" s="117"/>
      <c r="I9" s="118"/>
      <c r="L9" s="20"/>
      <c r="M9" s="20"/>
      <c r="N9" s="20"/>
    </row>
    <row r="10" spans="1:14" ht="21" customHeight="1" x14ac:dyDescent="0.3">
      <c r="A10" s="33">
        <v>7</v>
      </c>
      <c r="B10" s="5" t="s">
        <v>98</v>
      </c>
      <c r="C10" s="3"/>
      <c r="D10" s="3"/>
      <c r="E10" s="3"/>
      <c r="F10" s="3"/>
      <c r="G10" s="3"/>
      <c r="H10" s="117"/>
      <c r="I10" s="118"/>
      <c r="L10" s="20"/>
      <c r="M10" s="20"/>
      <c r="N10" s="20"/>
    </row>
    <row r="11" spans="1:14" ht="21" customHeight="1" x14ac:dyDescent="0.3">
      <c r="A11" s="34">
        <v>8</v>
      </c>
      <c r="B11" s="5" t="s">
        <v>99</v>
      </c>
      <c r="C11" s="42"/>
      <c r="D11" s="42"/>
      <c r="E11" s="42"/>
      <c r="F11" s="42"/>
      <c r="G11" s="42"/>
      <c r="H11" s="117"/>
      <c r="I11" s="118"/>
      <c r="L11" s="20"/>
      <c r="M11" s="20"/>
      <c r="N11" s="20"/>
    </row>
    <row r="12" spans="1:14" ht="21" customHeight="1" x14ac:dyDescent="0.3">
      <c r="A12" s="35">
        <v>9</v>
      </c>
      <c r="B12" s="5" t="s">
        <v>100</v>
      </c>
      <c r="C12" s="3"/>
      <c r="D12" s="3"/>
      <c r="E12" s="3"/>
      <c r="F12" s="3"/>
      <c r="G12" s="3"/>
      <c r="H12" s="117"/>
      <c r="I12" s="118"/>
      <c r="L12" s="20"/>
      <c r="M12" s="20"/>
      <c r="N12" s="20"/>
    </row>
    <row r="13" spans="1:14" ht="21" customHeight="1" x14ac:dyDescent="0.3">
      <c r="A13" s="33">
        <v>10</v>
      </c>
      <c r="B13" s="5" t="s">
        <v>101</v>
      </c>
      <c r="C13" s="3"/>
      <c r="D13" s="3"/>
      <c r="E13" s="3"/>
      <c r="F13" s="3"/>
      <c r="G13" s="3"/>
      <c r="H13" s="117"/>
      <c r="I13" s="118"/>
      <c r="L13" s="20"/>
      <c r="M13" s="20"/>
      <c r="N13" s="20"/>
    </row>
    <row r="14" spans="1:14" ht="21" customHeight="1" x14ac:dyDescent="0.3">
      <c r="A14" s="34">
        <v>11</v>
      </c>
      <c r="B14" s="5" t="s">
        <v>102</v>
      </c>
      <c r="C14" s="3"/>
      <c r="D14" s="3"/>
      <c r="E14" s="3"/>
      <c r="F14" s="3"/>
      <c r="G14" s="3"/>
      <c r="H14" s="117"/>
      <c r="I14" s="118"/>
      <c r="L14" s="20"/>
      <c r="M14" s="20"/>
      <c r="N14" s="20"/>
    </row>
    <row r="15" spans="1:14" ht="21" customHeight="1" x14ac:dyDescent="0.3">
      <c r="A15" s="35">
        <v>12</v>
      </c>
      <c r="B15" s="5" t="s">
        <v>103</v>
      </c>
      <c r="C15" s="3"/>
      <c r="D15" s="3"/>
      <c r="E15" s="3"/>
      <c r="F15" s="3"/>
      <c r="G15" s="3"/>
      <c r="H15" s="117"/>
      <c r="I15" s="118"/>
      <c r="L15" s="20"/>
      <c r="M15" s="20"/>
      <c r="N15" s="20"/>
    </row>
    <row r="16" spans="1:14" ht="21" customHeight="1" x14ac:dyDescent="0.3">
      <c r="A16" s="33">
        <v>13</v>
      </c>
      <c r="B16" s="5" t="s">
        <v>104</v>
      </c>
      <c r="C16" s="3"/>
      <c r="D16" s="3"/>
      <c r="E16" s="3"/>
      <c r="F16" s="3"/>
      <c r="G16" s="3"/>
      <c r="H16" s="117"/>
      <c r="I16" s="118"/>
      <c r="L16" s="20"/>
      <c r="M16" s="20"/>
      <c r="N16" s="20"/>
    </row>
    <row r="17" spans="1:14" ht="21" customHeight="1" x14ac:dyDescent="0.3">
      <c r="A17" s="34">
        <v>14</v>
      </c>
      <c r="B17" s="5" t="s">
        <v>105</v>
      </c>
      <c r="C17" s="3"/>
      <c r="D17" s="3"/>
      <c r="E17" s="3"/>
      <c r="F17" s="3"/>
      <c r="G17" s="3"/>
      <c r="H17" s="117"/>
      <c r="I17" s="118"/>
      <c r="L17" s="20"/>
      <c r="M17" s="20"/>
      <c r="N17" s="20"/>
    </row>
    <row r="18" spans="1:14" ht="21" customHeight="1" x14ac:dyDescent="0.3">
      <c r="A18" s="35">
        <v>15</v>
      </c>
      <c r="B18" s="5" t="s">
        <v>106</v>
      </c>
      <c r="C18" s="3"/>
      <c r="D18" s="3"/>
      <c r="E18" s="3"/>
      <c r="F18" s="3"/>
      <c r="G18" s="3"/>
      <c r="H18" s="117"/>
      <c r="I18" s="118"/>
      <c r="L18" s="20"/>
      <c r="M18" s="20"/>
      <c r="N18" s="20"/>
    </row>
    <row r="19" spans="1:14" ht="21" customHeight="1" x14ac:dyDescent="0.3">
      <c r="A19" s="33">
        <v>16</v>
      </c>
      <c r="B19" s="5" t="s">
        <v>107</v>
      </c>
      <c r="C19" s="3"/>
      <c r="D19" s="3"/>
      <c r="E19" s="3"/>
      <c r="F19" s="3"/>
      <c r="G19" s="3"/>
      <c r="H19" s="117"/>
      <c r="I19" s="118"/>
      <c r="L19" s="20"/>
      <c r="M19" s="20"/>
      <c r="N19" s="20"/>
    </row>
    <row r="20" spans="1:14" ht="21" customHeight="1" x14ac:dyDescent="0.3">
      <c r="A20" s="34">
        <v>17</v>
      </c>
      <c r="B20" s="5" t="s">
        <v>108</v>
      </c>
      <c r="C20" s="3"/>
      <c r="D20" s="3"/>
      <c r="E20" s="3"/>
      <c r="F20" s="3"/>
      <c r="G20" s="3"/>
      <c r="H20" s="117"/>
      <c r="I20" s="118"/>
      <c r="L20" s="20"/>
      <c r="M20" s="20"/>
      <c r="N20" s="20"/>
    </row>
    <row r="21" spans="1:14" ht="21" customHeight="1" x14ac:dyDescent="0.3">
      <c r="A21" s="35">
        <v>18</v>
      </c>
      <c r="B21" s="5" t="s">
        <v>109</v>
      </c>
      <c r="C21" s="3"/>
      <c r="D21" s="3"/>
      <c r="E21" s="3"/>
      <c r="F21" s="3"/>
      <c r="G21" s="3"/>
      <c r="H21" s="117"/>
      <c r="I21" s="118"/>
      <c r="L21" s="20"/>
      <c r="M21" s="20"/>
      <c r="N21" s="20"/>
    </row>
    <row r="22" spans="1:14" ht="21" customHeight="1" x14ac:dyDescent="0.3">
      <c r="A22" s="33">
        <v>19</v>
      </c>
      <c r="B22" s="37" t="s">
        <v>110</v>
      </c>
      <c r="C22" s="3"/>
      <c r="D22" s="3"/>
      <c r="E22" s="3"/>
      <c r="F22" s="3"/>
      <c r="G22" s="3"/>
      <c r="H22" s="117"/>
      <c r="I22" s="118"/>
      <c r="L22" s="20"/>
      <c r="M22" s="20"/>
      <c r="N22" s="20"/>
    </row>
    <row r="23" spans="1:14" ht="21" customHeight="1" x14ac:dyDescent="0.3">
      <c r="A23" s="34">
        <v>20</v>
      </c>
      <c r="B23" s="5" t="s">
        <v>111</v>
      </c>
      <c r="C23" s="3"/>
      <c r="D23" s="3"/>
      <c r="E23" s="3"/>
      <c r="F23" s="3"/>
      <c r="G23" s="3"/>
      <c r="H23" s="117"/>
      <c r="I23" s="118"/>
      <c r="L23" s="20"/>
      <c r="M23" s="20"/>
      <c r="N23" s="20"/>
    </row>
    <row r="24" spans="1:14" ht="21" customHeight="1" x14ac:dyDescent="0.3">
      <c r="A24" s="35">
        <v>21</v>
      </c>
      <c r="B24" s="121" t="s">
        <v>112</v>
      </c>
      <c r="C24" s="3"/>
      <c r="D24" s="3"/>
      <c r="E24" s="3"/>
      <c r="F24" s="3"/>
      <c r="G24" s="3"/>
      <c r="H24" s="117"/>
      <c r="I24" s="118"/>
      <c r="L24" s="20"/>
      <c r="M24" s="20"/>
      <c r="N24" s="20"/>
    </row>
    <row r="25" spans="1:14" ht="21" customHeight="1" x14ac:dyDescent="0.3">
      <c r="A25" s="33">
        <v>22</v>
      </c>
      <c r="B25" s="5" t="s">
        <v>113</v>
      </c>
      <c r="C25" s="3"/>
      <c r="D25" s="3"/>
      <c r="E25" s="3"/>
      <c r="F25" s="3"/>
      <c r="G25" s="3"/>
      <c r="H25" s="117"/>
      <c r="I25" s="118"/>
      <c r="L25" s="20"/>
      <c r="M25" s="20"/>
      <c r="N25" s="20"/>
    </row>
    <row r="26" spans="1:14" ht="21" customHeight="1" x14ac:dyDescent="0.3">
      <c r="A26" s="34">
        <v>23</v>
      </c>
      <c r="B26" s="5" t="s">
        <v>114</v>
      </c>
      <c r="C26" s="3"/>
      <c r="D26" s="3"/>
      <c r="E26" s="3"/>
      <c r="F26" s="3"/>
      <c r="G26" s="3"/>
      <c r="H26" s="117"/>
      <c r="I26" s="118"/>
      <c r="L26" s="20"/>
      <c r="M26" s="20"/>
      <c r="N26" s="20"/>
    </row>
    <row r="27" spans="1:14" ht="21" customHeight="1" x14ac:dyDescent="0.3">
      <c r="A27" s="35">
        <v>24</v>
      </c>
      <c r="B27" s="5" t="s">
        <v>115</v>
      </c>
      <c r="C27" s="3"/>
      <c r="D27" s="3"/>
      <c r="E27" s="3"/>
      <c r="F27" s="3"/>
      <c r="G27" s="3"/>
      <c r="H27" s="117"/>
      <c r="I27" s="118"/>
      <c r="L27" s="20"/>
      <c r="M27" s="20"/>
      <c r="N27" s="20"/>
    </row>
    <row r="28" spans="1:14" ht="21" customHeight="1" x14ac:dyDescent="0.3">
      <c r="A28" s="33">
        <v>25</v>
      </c>
      <c r="B28" s="5" t="s">
        <v>116</v>
      </c>
      <c r="C28" s="3"/>
      <c r="D28" s="3"/>
      <c r="E28" s="3"/>
      <c r="F28" s="3"/>
      <c r="G28" s="3"/>
      <c r="H28" s="117"/>
      <c r="I28" s="118"/>
      <c r="L28" s="20"/>
      <c r="M28" s="20"/>
      <c r="N28" s="20"/>
    </row>
    <row r="29" spans="1:14" ht="21" customHeight="1" x14ac:dyDescent="0.3">
      <c r="A29" s="120"/>
      <c r="B29" s="5" t="s">
        <v>117</v>
      </c>
      <c r="C29" s="118"/>
      <c r="D29" s="118"/>
      <c r="E29" s="118"/>
      <c r="F29" s="118"/>
      <c r="G29" s="118"/>
      <c r="H29" s="118"/>
      <c r="I29" s="119"/>
      <c r="L29" s="20"/>
      <c r="M29" s="20"/>
      <c r="N29" s="20"/>
    </row>
    <row r="30" spans="1:14" ht="21" customHeight="1" x14ac:dyDescent="0.3">
      <c r="B30" s="5" t="s">
        <v>118</v>
      </c>
      <c r="C30" s="80"/>
      <c r="D30" s="80"/>
      <c r="E30" s="80"/>
      <c r="F30" s="80"/>
      <c r="G30" s="80"/>
      <c r="H30" s="81"/>
      <c r="I30" s="79"/>
    </row>
    <row r="31" spans="1:14" ht="21" customHeight="1" x14ac:dyDescent="0.3">
      <c r="B31" s="122" t="s">
        <v>119</v>
      </c>
    </row>
  </sheetData>
  <mergeCells count="4">
    <mergeCell ref="A2:A3"/>
    <mergeCell ref="B2:B3"/>
    <mergeCell ref="A1:G1"/>
    <mergeCell ref="C2:G2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B1:AQ124"/>
  <sheetViews>
    <sheetView zoomScale="130" zoomScaleNormal="130" workbookViewId="0">
      <selection activeCell="O12" sqref="O12"/>
    </sheetView>
  </sheetViews>
  <sheetFormatPr baseColWidth="10" defaultRowHeight="14.4" x14ac:dyDescent="0.3"/>
  <cols>
    <col min="1" max="1" width="4.6640625" customWidth="1"/>
    <col min="2" max="2" width="3.44140625" customWidth="1"/>
    <col min="3" max="3" width="13.5546875" customWidth="1"/>
    <col min="4" max="4" width="3.77734375" customWidth="1"/>
    <col min="5" max="22" width="2.33203125" customWidth="1"/>
    <col min="23" max="23" width="3.21875" customWidth="1"/>
    <col min="24" max="24" width="13.5546875" customWidth="1"/>
    <col min="25" max="25" width="4.21875" customWidth="1"/>
    <col min="26" max="43" width="2.33203125" customWidth="1"/>
  </cols>
  <sheetData>
    <row r="1" spans="2:43" ht="21" x14ac:dyDescent="0.3">
      <c r="B1" s="757" t="s">
        <v>146</v>
      </c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7"/>
      <c r="N1" s="757"/>
      <c r="O1" s="757"/>
      <c r="P1" s="757"/>
      <c r="Q1" s="757"/>
      <c r="R1" s="757"/>
      <c r="S1" s="757"/>
      <c r="T1" s="757"/>
      <c r="U1" s="757"/>
      <c r="V1" s="757"/>
      <c r="W1" s="757"/>
      <c r="X1" s="757"/>
      <c r="Y1" s="757"/>
      <c r="Z1" s="757"/>
      <c r="AA1" s="757"/>
      <c r="AB1" s="757"/>
      <c r="AC1" s="757"/>
      <c r="AD1" s="757"/>
      <c r="AE1" s="757"/>
      <c r="AF1" s="757"/>
      <c r="AG1" s="757"/>
      <c r="AH1" s="757"/>
      <c r="AI1" s="757"/>
      <c r="AJ1" s="757"/>
      <c r="AK1" s="757"/>
      <c r="AL1" s="757"/>
      <c r="AM1" s="757"/>
      <c r="AN1" s="757"/>
      <c r="AO1" s="757"/>
      <c r="AP1" s="757"/>
      <c r="AQ1" s="757"/>
    </row>
    <row r="2" spans="2:43" ht="15.6" x14ac:dyDescent="0.3">
      <c r="B2" s="758" t="s">
        <v>34</v>
      </c>
      <c r="C2" s="759"/>
      <c r="D2" s="770" t="s">
        <v>1</v>
      </c>
      <c r="E2" s="768" t="s">
        <v>2</v>
      </c>
      <c r="F2" s="768"/>
      <c r="G2" s="768"/>
      <c r="H2" s="768"/>
      <c r="I2" s="768"/>
      <c r="J2" s="768"/>
      <c r="K2" s="768"/>
      <c r="L2" s="768"/>
      <c r="M2" s="768"/>
      <c r="N2" s="768"/>
      <c r="O2" s="768"/>
      <c r="P2" s="768"/>
      <c r="Q2" s="768"/>
      <c r="R2" s="768"/>
      <c r="S2" s="768"/>
      <c r="T2" s="768"/>
      <c r="U2" s="768"/>
      <c r="V2" s="768"/>
      <c r="W2" s="762" t="s">
        <v>34</v>
      </c>
      <c r="X2" s="759"/>
      <c r="Y2" s="770" t="s">
        <v>1</v>
      </c>
      <c r="Z2" s="768" t="s">
        <v>2</v>
      </c>
      <c r="AA2" s="768"/>
      <c r="AB2" s="768"/>
      <c r="AC2" s="768"/>
      <c r="AD2" s="768"/>
      <c r="AE2" s="768"/>
      <c r="AF2" s="768"/>
      <c r="AG2" s="768"/>
      <c r="AH2" s="768"/>
      <c r="AI2" s="768"/>
      <c r="AJ2" s="768"/>
      <c r="AK2" s="768"/>
      <c r="AL2" s="768"/>
      <c r="AM2" s="768"/>
      <c r="AN2" s="768"/>
      <c r="AO2" s="768"/>
      <c r="AP2" s="768"/>
      <c r="AQ2" s="769"/>
    </row>
    <row r="3" spans="2:43" x14ac:dyDescent="0.3">
      <c r="B3" s="758"/>
      <c r="C3" s="759"/>
      <c r="D3" s="770"/>
      <c r="E3" s="70">
        <v>1</v>
      </c>
      <c r="F3" s="95">
        <v>2</v>
      </c>
      <c r="G3" s="95">
        <v>3</v>
      </c>
      <c r="H3" s="95">
        <v>4</v>
      </c>
      <c r="I3" s="95">
        <v>5</v>
      </c>
      <c r="J3" s="95">
        <v>6</v>
      </c>
      <c r="K3" s="95">
        <v>7</v>
      </c>
      <c r="L3" s="95">
        <v>8</v>
      </c>
      <c r="M3" s="95">
        <v>9</v>
      </c>
      <c r="N3" s="95">
        <v>10</v>
      </c>
      <c r="O3" s="95">
        <v>11</v>
      </c>
      <c r="P3" s="95">
        <v>12</v>
      </c>
      <c r="Q3" s="95">
        <v>13</v>
      </c>
      <c r="R3" s="95">
        <v>14</v>
      </c>
      <c r="S3" s="95">
        <v>15</v>
      </c>
      <c r="T3" s="95">
        <v>16</v>
      </c>
      <c r="U3" s="95">
        <v>17</v>
      </c>
      <c r="V3" s="95">
        <v>18</v>
      </c>
      <c r="W3" s="762"/>
      <c r="X3" s="759"/>
      <c r="Y3" s="770"/>
      <c r="Z3" s="70">
        <v>1</v>
      </c>
      <c r="AA3" s="95">
        <v>2</v>
      </c>
      <c r="AB3" s="95">
        <v>3</v>
      </c>
      <c r="AC3" s="95">
        <v>4</v>
      </c>
      <c r="AD3" s="95">
        <v>5</v>
      </c>
      <c r="AE3" s="95">
        <v>6</v>
      </c>
      <c r="AF3" s="95">
        <v>7</v>
      </c>
      <c r="AG3" s="95">
        <v>8</v>
      </c>
      <c r="AH3" s="95">
        <v>9</v>
      </c>
      <c r="AI3" s="95">
        <v>10</v>
      </c>
      <c r="AJ3" s="95">
        <v>11</v>
      </c>
      <c r="AK3" s="72">
        <v>12</v>
      </c>
      <c r="AL3" s="72">
        <v>13</v>
      </c>
      <c r="AM3" s="72">
        <v>14</v>
      </c>
      <c r="AN3" s="72">
        <v>15</v>
      </c>
      <c r="AO3" s="72">
        <v>16</v>
      </c>
      <c r="AP3" s="72">
        <v>17</v>
      </c>
      <c r="AQ3" s="72">
        <v>18</v>
      </c>
    </row>
    <row r="4" spans="2:43" x14ac:dyDescent="0.3">
      <c r="B4" s="758"/>
      <c r="C4" s="759"/>
      <c r="D4" s="770"/>
      <c r="E4" s="832" t="s">
        <v>3</v>
      </c>
      <c r="F4" s="833"/>
      <c r="G4" s="833"/>
      <c r="H4" s="833"/>
      <c r="I4" s="833"/>
      <c r="J4" s="833"/>
      <c r="K4" s="833"/>
      <c r="L4" s="833"/>
      <c r="M4" s="833"/>
      <c r="N4" s="833"/>
      <c r="O4" s="833"/>
      <c r="P4" s="833"/>
      <c r="Q4" s="833"/>
      <c r="R4" s="833"/>
      <c r="S4" s="834"/>
      <c r="T4" s="74"/>
      <c r="U4" s="76"/>
      <c r="V4" s="76"/>
      <c r="W4" s="762"/>
      <c r="X4" s="759"/>
      <c r="Y4" s="770"/>
      <c r="Z4" s="832" t="s">
        <v>3</v>
      </c>
      <c r="AA4" s="833"/>
      <c r="AB4" s="833"/>
      <c r="AC4" s="833"/>
      <c r="AD4" s="833"/>
      <c r="AE4" s="833"/>
      <c r="AF4" s="833"/>
      <c r="AG4" s="833"/>
      <c r="AH4" s="833"/>
      <c r="AI4" s="833"/>
      <c r="AJ4" s="833"/>
      <c r="AK4" s="833"/>
      <c r="AL4" s="833"/>
      <c r="AM4" s="833"/>
      <c r="AN4" s="834"/>
      <c r="AO4" s="77"/>
      <c r="AP4" s="77"/>
      <c r="AQ4" s="77"/>
    </row>
    <row r="5" spans="2:43" ht="151.80000000000001" customHeight="1" x14ac:dyDescent="0.3">
      <c r="B5" s="758"/>
      <c r="C5" s="759"/>
      <c r="D5" s="770"/>
      <c r="E5" s="93" t="s">
        <v>148</v>
      </c>
      <c r="F5" s="96" t="s">
        <v>149</v>
      </c>
      <c r="G5" s="324" t="s">
        <v>152</v>
      </c>
      <c r="H5" s="325" t="s">
        <v>154</v>
      </c>
      <c r="I5" s="136" t="s">
        <v>155</v>
      </c>
      <c r="J5" s="324" t="s">
        <v>282</v>
      </c>
      <c r="K5" s="96" t="s">
        <v>283</v>
      </c>
      <c r="L5" s="325" t="s">
        <v>297</v>
      </c>
      <c r="M5" s="96" t="s">
        <v>300</v>
      </c>
      <c r="N5" s="96" t="s">
        <v>307</v>
      </c>
      <c r="O5" s="96" t="s">
        <v>308</v>
      </c>
      <c r="P5" s="300" t="s">
        <v>309</v>
      </c>
      <c r="Q5" s="308" t="s">
        <v>317</v>
      </c>
      <c r="R5" s="310" t="s">
        <v>348</v>
      </c>
      <c r="S5" s="312" t="s">
        <v>320</v>
      </c>
      <c r="T5" s="311" t="s">
        <v>321</v>
      </c>
      <c r="U5" s="313" t="s">
        <v>131</v>
      </c>
      <c r="V5" s="96"/>
      <c r="W5" s="762"/>
      <c r="X5" s="759"/>
      <c r="Y5" s="770"/>
      <c r="Z5" s="93" t="s">
        <v>148</v>
      </c>
      <c r="AA5" s="324" t="s">
        <v>152</v>
      </c>
      <c r="AB5" s="325" t="s">
        <v>154</v>
      </c>
      <c r="AC5" s="136" t="s">
        <v>155</v>
      </c>
      <c r="AD5" s="324" t="s">
        <v>282</v>
      </c>
      <c r="AE5" s="96" t="s">
        <v>283</v>
      </c>
      <c r="AF5" s="325" t="s">
        <v>297</v>
      </c>
      <c r="AG5" s="134" t="s">
        <v>322</v>
      </c>
      <c r="AH5" s="96" t="s">
        <v>300</v>
      </c>
      <c r="AI5" s="96" t="s">
        <v>307</v>
      </c>
      <c r="AJ5" s="96" t="s">
        <v>308</v>
      </c>
      <c r="AK5" s="300" t="s">
        <v>309</v>
      </c>
      <c r="AL5" s="308" t="s">
        <v>317</v>
      </c>
      <c r="AM5" s="310" t="s">
        <v>348</v>
      </c>
      <c r="AN5" s="312" t="s">
        <v>320</v>
      </c>
      <c r="AO5" s="311" t="s">
        <v>321</v>
      </c>
      <c r="AP5" s="313" t="s">
        <v>131</v>
      </c>
      <c r="AQ5" s="96"/>
    </row>
    <row r="6" spans="2:43" ht="16.2" thickBot="1" x14ac:dyDescent="0.35">
      <c r="B6" s="1">
        <v>1</v>
      </c>
      <c r="C6" s="284" t="s">
        <v>284</v>
      </c>
      <c r="D6" s="314">
        <f>((E6+F6+G6+H6+I6+J6+K6+L6+M6+N6+O6+P6+Q6+R6+S6+T6+U6)/17)</f>
        <v>16.294117647058822</v>
      </c>
      <c r="E6" s="326">
        <v>0</v>
      </c>
      <c r="F6" s="327">
        <v>18</v>
      </c>
      <c r="G6" s="367">
        <v>18</v>
      </c>
      <c r="H6" s="184">
        <v>18</v>
      </c>
      <c r="I6" s="367">
        <v>18</v>
      </c>
      <c r="J6" s="367">
        <v>18</v>
      </c>
      <c r="K6" s="328">
        <v>18</v>
      </c>
      <c r="L6" s="371">
        <v>18</v>
      </c>
      <c r="M6" s="327">
        <v>18</v>
      </c>
      <c r="N6" s="327">
        <v>18</v>
      </c>
      <c r="O6" s="330">
        <v>18</v>
      </c>
      <c r="P6" s="152">
        <v>18</v>
      </c>
      <c r="Q6" s="329">
        <v>18</v>
      </c>
      <c r="R6" s="152">
        <v>18</v>
      </c>
      <c r="S6" s="331">
        <v>10</v>
      </c>
      <c r="T6" s="332">
        <v>15</v>
      </c>
      <c r="U6" s="333">
        <v>18</v>
      </c>
      <c r="V6" s="259"/>
      <c r="W6" s="2">
        <v>15</v>
      </c>
      <c r="X6" s="284" t="s">
        <v>287</v>
      </c>
      <c r="Y6" s="314">
        <f>((Z6+AA6+AB6+AC6+AD6+AE6+AF6+AG6+AH6+AI6+AJ6+AK6+AL6+AM6+AN6+AO6+AP6)/17)</f>
        <v>14.588235294117647</v>
      </c>
      <c r="Z6" s="162">
        <v>19</v>
      </c>
      <c r="AA6" s="371">
        <v>0</v>
      </c>
      <c r="AB6" s="371">
        <v>0</v>
      </c>
      <c r="AC6" s="184">
        <v>30</v>
      </c>
      <c r="AD6" s="371">
        <v>0</v>
      </c>
      <c r="AE6" s="329">
        <v>0</v>
      </c>
      <c r="AF6" s="374">
        <v>0</v>
      </c>
      <c r="AG6" s="152">
        <v>35</v>
      </c>
      <c r="AH6" s="152">
        <v>31</v>
      </c>
      <c r="AI6" s="152">
        <v>35</v>
      </c>
      <c r="AJ6" s="349">
        <v>0</v>
      </c>
      <c r="AK6" s="329">
        <v>0</v>
      </c>
      <c r="AL6" s="327">
        <v>35</v>
      </c>
      <c r="AM6" s="152">
        <v>25</v>
      </c>
      <c r="AN6" s="331"/>
      <c r="AO6" s="332">
        <v>10</v>
      </c>
      <c r="AP6" s="350">
        <v>28</v>
      </c>
      <c r="AQ6" s="351"/>
    </row>
    <row r="7" spans="2:43" ht="16.2" thickBot="1" x14ac:dyDescent="0.35">
      <c r="B7" s="1">
        <v>2</v>
      </c>
      <c r="C7" s="27" t="s">
        <v>22</v>
      </c>
      <c r="D7" s="314">
        <f t="shared" ref="D7:D19" si="0">((E7+F7+G7+H7+I7+J7+K7+L7+M7+N7+O7+P7+Q7+R7+S7+T7+U7)/17)</f>
        <v>19.529411764705884</v>
      </c>
      <c r="E7" s="334">
        <v>0</v>
      </c>
      <c r="F7" s="156">
        <v>35</v>
      </c>
      <c r="G7" s="184">
        <v>30</v>
      </c>
      <c r="H7" s="184">
        <v>18</v>
      </c>
      <c r="I7" s="184">
        <v>28</v>
      </c>
      <c r="J7" s="185">
        <v>28</v>
      </c>
      <c r="K7" s="335">
        <v>0</v>
      </c>
      <c r="L7" s="185">
        <v>10</v>
      </c>
      <c r="M7" s="156">
        <v>33</v>
      </c>
      <c r="N7" s="156">
        <v>35</v>
      </c>
      <c r="O7" s="336">
        <v>0</v>
      </c>
      <c r="P7" s="335">
        <v>0</v>
      </c>
      <c r="Q7" s="156">
        <v>33</v>
      </c>
      <c r="R7" s="156">
        <v>1</v>
      </c>
      <c r="S7" s="337">
        <v>28</v>
      </c>
      <c r="T7" s="338">
        <v>25</v>
      </c>
      <c r="U7" s="339">
        <v>28</v>
      </c>
      <c r="V7" s="264"/>
      <c r="W7" s="2">
        <v>16</v>
      </c>
      <c r="X7" s="284" t="s">
        <v>288</v>
      </c>
      <c r="Y7" s="314">
        <f t="shared" ref="Y7:Y20" si="1">((Z7+AA7+AB7+AC7+AD7+AE7+AF7+AG7+AH7+AI7+AJ7+AK7+AL7+AM7+AN7+AO7+AP7)/17)</f>
        <v>23.882352941176471</v>
      </c>
      <c r="Z7" s="164">
        <v>18</v>
      </c>
      <c r="AA7" s="372">
        <v>0</v>
      </c>
      <c r="AB7" s="372">
        <v>0</v>
      </c>
      <c r="AC7" s="185">
        <v>20</v>
      </c>
      <c r="AD7" s="185">
        <v>21</v>
      </c>
      <c r="AE7" s="156">
        <v>33</v>
      </c>
      <c r="AF7" s="185">
        <v>35</v>
      </c>
      <c r="AG7" s="156">
        <v>20</v>
      </c>
      <c r="AH7" s="156">
        <v>14</v>
      </c>
      <c r="AI7" s="156">
        <v>35</v>
      </c>
      <c r="AJ7" s="166">
        <v>32</v>
      </c>
      <c r="AK7" s="156">
        <v>29</v>
      </c>
      <c r="AL7" s="156">
        <v>34</v>
      </c>
      <c r="AM7" s="156">
        <v>32</v>
      </c>
      <c r="AN7" s="337">
        <v>30</v>
      </c>
      <c r="AO7" s="338">
        <v>20</v>
      </c>
      <c r="AP7" s="352">
        <v>33</v>
      </c>
      <c r="AQ7" s="91"/>
    </row>
    <row r="8" spans="2:43" ht="16.2" thickBot="1" x14ac:dyDescent="0.35">
      <c r="B8" s="1">
        <v>3</v>
      </c>
      <c r="C8" s="18" t="s">
        <v>12</v>
      </c>
      <c r="D8" s="314">
        <f t="shared" si="0"/>
        <v>20.764705882352942</v>
      </c>
      <c r="E8" s="155">
        <v>18</v>
      </c>
      <c r="F8" s="156">
        <v>35</v>
      </c>
      <c r="G8" s="184">
        <v>35</v>
      </c>
      <c r="H8" s="184">
        <v>18</v>
      </c>
      <c r="I8" s="184">
        <v>18</v>
      </c>
      <c r="J8" s="368">
        <v>21</v>
      </c>
      <c r="K8" s="156">
        <v>21</v>
      </c>
      <c r="L8" s="185">
        <v>28</v>
      </c>
      <c r="M8" s="152">
        <v>6</v>
      </c>
      <c r="N8" s="340">
        <v>0</v>
      </c>
      <c r="O8" s="341">
        <v>30</v>
      </c>
      <c r="P8" s="340">
        <v>0</v>
      </c>
      <c r="Q8" s="156">
        <v>30</v>
      </c>
      <c r="R8" s="171">
        <v>35</v>
      </c>
      <c r="S8" s="337">
        <v>15</v>
      </c>
      <c r="T8" s="338">
        <v>15</v>
      </c>
      <c r="U8" s="339">
        <v>28</v>
      </c>
      <c r="V8" s="264"/>
      <c r="W8" s="1">
        <v>17</v>
      </c>
      <c r="X8" s="18" t="s">
        <v>129</v>
      </c>
      <c r="Y8" s="314">
        <f t="shared" si="1"/>
        <v>34.058823529411768</v>
      </c>
      <c r="Z8" s="164">
        <v>35</v>
      </c>
      <c r="AA8" s="185">
        <v>35</v>
      </c>
      <c r="AB8" s="185">
        <v>35</v>
      </c>
      <c r="AC8" s="185">
        <v>35</v>
      </c>
      <c r="AD8" s="185">
        <v>35</v>
      </c>
      <c r="AE8" s="156">
        <v>35</v>
      </c>
      <c r="AF8" s="185">
        <v>35</v>
      </c>
      <c r="AG8" s="156">
        <v>30</v>
      </c>
      <c r="AH8" s="156">
        <v>35</v>
      </c>
      <c r="AI8" s="156">
        <v>35</v>
      </c>
      <c r="AJ8" s="166">
        <v>35</v>
      </c>
      <c r="AK8" s="156">
        <v>31</v>
      </c>
      <c r="AL8" s="156">
        <v>35</v>
      </c>
      <c r="AM8" s="156">
        <v>33</v>
      </c>
      <c r="AN8" s="337">
        <v>35</v>
      </c>
      <c r="AO8" s="338">
        <v>30</v>
      </c>
      <c r="AP8" s="352">
        <v>35</v>
      </c>
      <c r="AQ8" s="91"/>
    </row>
    <row r="9" spans="2:43" ht="16.2" thickBot="1" x14ac:dyDescent="0.35">
      <c r="B9" s="1">
        <v>4</v>
      </c>
      <c r="C9" s="27" t="s">
        <v>23</v>
      </c>
      <c r="D9" s="314">
        <f t="shared" si="0"/>
        <v>25</v>
      </c>
      <c r="E9" s="155">
        <v>3</v>
      </c>
      <c r="F9" s="340">
        <v>0</v>
      </c>
      <c r="G9" s="184">
        <v>30</v>
      </c>
      <c r="H9" s="184">
        <v>22</v>
      </c>
      <c r="I9" s="184">
        <v>32</v>
      </c>
      <c r="J9" s="185">
        <v>33</v>
      </c>
      <c r="K9" s="156">
        <v>33</v>
      </c>
      <c r="L9" s="185">
        <v>30</v>
      </c>
      <c r="M9" s="156">
        <v>28</v>
      </c>
      <c r="N9" s="158">
        <v>33</v>
      </c>
      <c r="O9" s="342">
        <v>28</v>
      </c>
      <c r="P9" s="158">
        <v>30</v>
      </c>
      <c r="Q9" s="343">
        <v>0</v>
      </c>
      <c r="R9" s="182">
        <v>35</v>
      </c>
      <c r="S9" s="337">
        <v>30</v>
      </c>
      <c r="T9" s="344">
        <v>25</v>
      </c>
      <c r="U9" s="339">
        <v>33</v>
      </c>
      <c r="V9" s="265"/>
      <c r="W9" s="2">
        <v>18</v>
      </c>
      <c r="X9" s="18" t="s">
        <v>28</v>
      </c>
      <c r="Y9" s="314">
        <f t="shared" si="1"/>
        <v>34.352941176470587</v>
      </c>
      <c r="Z9" s="164">
        <v>35</v>
      </c>
      <c r="AA9" s="185">
        <v>35</v>
      </c>
      <c r="AB9" s="185">
        <v>35</v>
      </c>
      <c r="AC9" s="185">
        <v>35</v>
      </c>
      <c r="AD9" s="185">
        <v>35</v>
      </c>
      <c r="AE9" s="156">
        <v>35</v>
      </c>
      <c r="AF9" s="185">
        <v>35</v>
      </c>
      <c r="AG9" s="156">
        <v>34</v>
      </c>
      <c r="AH9" s="156">
        <v>35</v>
      </c>
      <c r="AI9" s="156">
        <v>35</v>
      </c>
      <c r="AJ9" s="166">
        <v>35</v>
      </c>
      <c r="AK9" s="158">
        <v>35</v>
      </c>
      <c r="AL9" s="156">
        <v>35</v>
      </c>
      <c r="AM9" s="156">
        <v>35</v>
      </c>
      <c r="AN9" s="337">
        <v>30</v>
      </c>
      <c r="AO9" s="338">
        <v>30</v>
      </c>
      <c r="AP9" s="352">
        <v>35</v>
      </c>
      <c r="AQ9" s="91"/>
    </row>
    <row r="10" spans="2:43" ht="16.2" thickBot="1" x14ac:dyDescent="0.35">
      <c r="B10" s="1">
        <v>5</v>
      </c>
      <c r="C10" s="18" t="s">
        <v>13</v>
      </c>
      <c r="D10" s="314">
        <f t="shared" si="0"/>
        <v>22.411764705882351</v>
      </c>
      <c r="E10" s="155">
        <v>18</v>
      </c>
      <c r="F10" s="156">
        <v>18</v>
      </c>
      <c r="G10" s="184">
        <v>18</v>
      </c>
      <c r="H10" s="184">
        <v>22</v>
      </c>
      <c r="I10" s="184">
        <v>16</v>
      </c>
      <c r="J10" s="185">
        <v>28</v>
      </c>
      <c r="K10" s="156">
        <v>32</v>
      </c>
      <c r="L10" s="185">
        <v>20</v>
      </c>
      <c r="M10" s="327">
        <v>31</v>
      </c>
      <c r="N10" s="171">
        <v>35</v>
      </c>
      <c r="O10" s="166">
        <v>18</v>
      </c>
      <c r="P10" s="156">
        <v>18</v>
      </c>
      <c r="Q10" s="156">
        <v>2</v>
      </c>
      <c r="R10" s="171">
        <v>32</v>
      </c>
      <c r="S10" s="337">
        <v>30</v>
      </c>
      <c r="T10" s="338">
        <v>15</v>
      </c>
      <c r="U10" s="339">
        <v>28</v>
      </c>
      <c r="V10" s="264"/>
      <c r="W10" s="2">
        <v>19</v>
      </c>
      <c r="X10" s="286" t="s">
        <v>289</v>
      </c>
      <c r="Y10" s="314">
        <f t="shared" si="1"/>
        <v>22.235294117647058</v>
      </c>
      <c r="Z10" s="164">
        <v>18</v>
      </c>
      <c r="AA10" s="185">
        <v>18</v>
      </c>
      <c r="AB10" s="185">
        <v>35</v>
      </c>
      <c r="AC10" s="185">
        <v>18</v>
      </c>
      <c r="AD10" s="185">
        <v>20</v>
      </c>
      <c r="AE10" s="156">
        <v>30</v>
      </c>
      <c r="AF10" s="185">
        <v>28</v>
      </c>
      <c r="AG10" s="156">
        <v>28</v>
      </c>
      <c r="AH10" s="156">
        <v>21</v>
      </c>
      <c r="AI10" s="156">
        <v>30</v>
      </c>
      <c r="AJ10" s="166">
        <v>18</v>
      </c>
      <c r="AK10" s="159">
        <v>0</v>
      </c>
      <c r="AL10" s="156">
        <v>21</v>
      </c>
      <c r="AM10" s="156">
        <v>35</v>
      </c>
      <c r="AN10" s="337">
        <v>18</v>
      </c>
      <c r="AO10" s="338">
        <v>15</v>
      </c>
      <c r="AP10" s="352">
        <v>25</v>
      </c>
      <c r="AQ10" s="91"/>
    </row>
    <row r="11" spans="2:43" ht="16.2" thickBot="1" x14ac:dyDescent="0.35">
      <c r="B11" s="1">
        <v>6</v>
      </c>
      <c r="C11" s="18" t="s">
        <v>52</v>
      </c>
      <c r="D11" s="314">
        <f t="shared" si="0"/>
        <v>19.058823529411764</v>
      </c>
      <c r="E11" s="326">
        <v>0</v>
      </c>
      <c r="F11" s="156">
        <v>30</v>
      </c>
      <c r="G11" s="184">
        <v>30</v>
      </c>
      <c r="H11" s="184">
        <v>35</v>
      </c>
      <c r="I11" s="184">
        <v>21</v>
      </c>
      <c r="J11" s="185">
        <v>35</v>
      </c>
      <c r="K11" s="156">
        <v>28</v>
      </c>
      <c r="L11" s="370">
        <v>0</v>
      </c>
      <c r="M11" s="340">
        <v>0</v>
      </c>
      <c r="N11" s="156">
        <v>18</v>
      </c>
      <c r="O11" s="341">
        <v>22</v>
      </c>
      <c r="P11" s="156">
        <v>2</v>
      </c>
      <c r="Q11" s="156">
        <v>35</v>
      </c>
      <c r="R11" s="340">
        <v>0</v>
      </c>
      <c r="S11" s="337">
        <v>15</v>
      </c>
      <c r="T11" s="338">
        <v>25</v>
      </c>
      <c r="U11" s="339">
        <v>28</v>
      </c>
      <c r="V11" s="264"/>
      <c r="W11" s="1">
        <v>20</v>
      </c>
      <c r="X11" s="18" t="s">
        <v>18</v>
      </c>
      <c r="Y11" s="314">
        <f t="shared" si="1"/>
        <v>32</v>
      </c>
      <c r="Z11" s="164">
        <v>18</v>
      </c>
      <c r="AA11" s="185">
        <v>30</v>
      </c>
      <c r="AB11" s="185">
        <v>35</v>
      </c>
      <c r="AC11" s="185">
        <v>35</v>
      </c>
      <c r="AD11" s="185">
        <v>28</v>
      </c>
      <c r="AE11" s="156">
        <v>35</v>
      </c>
      <c r="AF11" s="185">
        <v>32</v>
      </c>
      <c r="AG11" s="156">
        <v>30</v>
      </c>
      <c r="AH11" s="156">
        <v>28</v>
      </c>
      <c r="AI11" s="156">
        <v>35</v>
      </c>
      <c r="AJ11" s="166">
        <v>35</v>
      </c>
      <c r="AK11" s="156">
        <v>35</v>
      </c>
      <c r="AL11" s="156">
        <v>35</v>
      </c>
      <c r="AM11" s="156">
        <v>35</v>
      </c>
      <c r="AN11" s="337">
        <v>35</v>
      </c>
      <c r="AO11" s="338">
        <v>29</v>
      </c>
      <c r="AP11" s="352">
        <v>34</v>
      </c>
      <c r="AQ11" s="91"/>
    </row>
    <row r="12" spans="2:43" ht="16.2" thickBot="1" x14ac:dyDescent="0.35">
      <c r="B12" s="1">
        <v>7</v>
      </c>
      <c r="C12" s="284" t="s">
        <v>285</v>
      </c>
      <c r="D12" s="314">
        <f t="shared" si="0"/>
        <v>7.5294117647058822</v>
      </c>
      <c r="E12" s="345">
        <v>0</v>
      </c>
      <c r="F12" s="335">
        <v>0</v>
      </c>
      <c r="G12" s="369">
        <v>0</v>
      </c>
      <c r="H12" s="367">
        <v>18</v>
      </c>
      <c r="I12" s="369">
        <v>0</v>
      </c>
      <c r="J12" s="370">
        <v>7</v>
      </c>
      <c r="K12" s="335">
        <v>0</v>
      </c>
      <c r="L12" s="372">
        <v>0</v>
      </c>
      <c r="M12" s="346">
        <v>0</v>
      </c>
      <c r="N12" s="335">
        <v>0</v>
      </c>
      <c r="O12" s="336">
        <v>0</v>
      </c>
      <c r="P12" s="335">
        <v>0</v>
      </c>
      <c r="Q12" s="156">
        <v>28</v>
      </c>
      <c r="R12" s="335">
        <v>0</v>
      </c>
      <c r="S12" s="337">
        <v>35</v>
      </c>
      <c r="T12" s="338">
        <v>25</v>
      </c>
      <c r="U12" s="339">
        <v>15</v>
      </c>
      <c r="V12" s="264"/>
      <c r="W12" s="2">
        <v>21</v>
      </c>
      <c r="X12" s="287" t="s">
        <v>290</v>
      </c>
      <c r="Y12" s="314">
        <f t="shared" si="1"/>
        <v>4.9411764705882355</v>
      </c>
      <c r="Z12" s="353">
        <v>0</v>
      </c>
      <c r="AA12" s="372">
        <v>0</v>
      </c>
      <c r="AB12" s="372">
        <v>0</v>
      </c>
      <c r="AC12" s="372">
        <v>0</v>
      </c>
      <c r="AD12" s="372">
        <v>0</v>
      </c>
      <c r="AE12" s="156">
        <v>18</v>
      </c>
      <c r="AF12" s="185">
        <v>18</v>
      </c>
      <c r="AG12" s="335">
        <v>0</v>
      </c>
      <c r="AH12" s="335">
        <v>0</v>
      </c>
      <c r="AI12" s="335">
        <v>0</v>
      </c>
      <c r="AJ12" s="166">
        <v>18</v>
      </c>
      <c r="AK12" s="335">
        <v>0</v>
      </c>
      <c r="AL12" s="335">
        <v>0</v>
      </c>
      <c r="AM12" s="335">
        <v>0</v>
      </c>
      <c r="AN12" s="337">
        <v>10</v>
      </c>
      <c r="AO12" s="338">
        <v>20</v>
      </c>
      <c r="AP12" s="352"/>
      <c r="AQ12" s="91"/>
    </row>
    <row r="13" spans="2:43" ht="16.2" thickBot="1" x14ac:dyDescent="0.35">
      <c r="B13" s="1">
        <v>8</v>
      </c>
      <c r="C13" s="18" t="s">
        <v>14</v>
      </c>
      <c r="D13" s="314">
        <f t="shared" si="0"/>
        <v>34.294117647058826</v>
      </c>
      <c r="E13" s="160">
        <v>35</v>
      </c>
      <c r="F13" s="156">
        <v>35</v>
      </c>
      <c r="G13" s="184">
        <v>35</v>
      </c>
      <c r="H13" s="184">
        <v>35</v>
      </c>
      <c r="I13" s="184">
        <v>35</v>
      </c>
      <c r="J13" s="185">
        <v>35</v>
      </c>
      <c r="K13" s="156">
        <v>35</v>
      </c>
      <c r="L13" s="185">
        <v>30</v>
      </c>
      <c r="M13" s="156">
        <v>35</v>
      </c>
      <c r="N13" s="156">
        <v>35</v>
      </c>
      <c r="O13" s="166">
        <v>33</v>
      </c>
      <c r="P13" s="156">
        <v>35</v>
      </c>
      <c r="Q13" s="156">
        <v>35</v>
      </c>
      <c r="R13" s="171">
        <v>35</v>
      </c>
      <c r="S13" s="337">
        <v>35</v>
      </c>
      <c r="T13" s="338">
        <v>30</v>
      </c>
      <c r="U13" s="339">
        <v>35</v>
      </c>
      <c r="V13" s="264"/>
      <c r="W13" s="2">
        <v>22</v>
      </c>
      <c r="X13" s="146" t="s">
        <v>30</v>
      </c>
      <c r="Y13" s="314">
        <f t="shared" si="1"/>
        <v>18.470588235294116</v>
      </c>
      <c r="Z13" s="353">
        <v>0</v>
      </c>
      <c r="AA13" s="370">
        <v>0</v>
      </c>
      <c r="AB13" s="185">
        <v>35</v>
      </c>
      <c r="AC13" s="185">
        <v>18</v>
      </c>
      <c r="AD13" s="185">
        <v>28</v>
      </c>
      <c r="AE13" s="156">
        <v>28</v>
      </c>
      <c r="AF13" s="185">
        <v>35</v>
      </c>
      <c r="AG13" s="156">
        <v>30</v>
      </c>
      <c r="AH13" s="156">
        <v>30</v>
      </c>
      <c r="AI13" s="156">
        <v>22</v>
      </c>
      <c r="AJ13" s="166">
        <v>28</v>
      </c>
      <c r="AK13" s="340">
        <v>0</v>
      </c>
      <c r="AL13" s="156">
        <v>22</v>
      </c>
      <c r="AM13" s="335">
        <v>0</v>
      </c>
      <c r="AN13" s="337">
        <v>10</v>
      </c>
      <c r="AO13" s="338">
        <v>10</v>
      </c>
      <c r="AP13" s="352">
        <v>18</v>
      </c>
      <c r="AQ13" s="91"/>
    </row>
    <row r="14" spans="2:43" ht="16.2" thickBot="1" x14ac:dyDescent="0.35">
      <c r="B14" s="1">
        <v>9</v>
      </c>
      <c r="C14" s="18" t="s">
        <v>51</v>
      </c>
      <c r="D14" s="314">
        <f t="shared" si="0"/>
        <v>26.411764705882351</v>
      </c>
      <c r="E14" s="160">
        <v>18</v>
      </c>
      <c r="F14" s="156">
        <v>30</v>
      </c>
      <c r="G14" s="184">
        <v>35</v>
      </c>
      <c r="H14" s="184">
        <v>35</v>
      </c>
      <c r="I14" s="184">
        <v>16</v>
      </c>
      <c r="J14" s="185">
        <v>24</v>
      </c>
      <c r="K14" s="156">
        <v>21</v>
      </c>
      <c r="L14" s="185">
        <v>30</v>
      </c>
      <c r="M14" s="152">
        <v>34</v>
      </c>
      <c r="N14" s="156">
        <v>35</v>
      </c>
      <c r="O14" s="166">
        <v>18</v>
      </c>
      <c r="P14" s="156">
        <v>31</v>
      </c>
      <c r="Q14" s="156">
        <v>33</v>
      </c>
      <c r="R14" s="156">
        <v>1</v>
      </c>
      <c r="S14" s="337">
        <v>35</v>
      </c>
      <c r="T14" s="338">
        <v>25</v>
      </c>
      <c r="U14" s="339">
        <v>28</v>
      </c>
      <c r="V14" s="264"/>
      <c r="W14" s="1">
        <v>23</v>
      </c>
      <c r="X14" s="146" t="s">
        <v>19</v>
      </c>
      <c r="Y14" s="314">
        <f t="shared" si="1"/>
        <v>11.823529411764707</v>
      </c>
      <c r="Z14" s="353">
        <v>0</v>
      </c>
      <c r="AA14" s="370">
        <v>0</v>
      </c>
      <c r="AB14" s="185">
        <v>18</v>
      </c>
      <c r="AC14" s="370">
        <v>0</v>
      </c>
      <c r="AD14" s="185">
        <v>18</v>
      </c>
      <c r="AE14" s="156">
        <v>14</v>
      </c>
      <c r="AF14" s="185">
        <v>15</v>
      </c>
      <c r="AG14" s="156">
        <v>18</v>
      </c>
      <c r="AH14" s="156">
        <v>7</v>
      </c>
      <c r="AI14" s="340">
        <v>0</v>
      </c>
      <c r="AJ14" s="348">
        <v>0</v>
      </c>
      <c r="AK14" s="156">
        <v>10</v>
      </c>
      <c r="AL14" s="156">
        <v>18</v>
      </c>
      <c r="AM14" s="156">
        <v>5</v>
      </c>
      <c r="AN14" s="337">
        <v>35</v>
      </c>
      <c r="AO14" s="347">
        <v>25</v>
      </c>
      <c r="AP14" s="352">
        <v>18</v>
      </c>
      <c r="AQ14" s="91"/>
    </row>
    <row r="15" spans="2:43" ht="24" thickBot="1" x14ac:dyDescent="0.35">
      <c r="B15" s="1">
        <v>10</v>
      </c>
      <c r="C15" s="285" t="s">
        <v>286</v>
      </c>
      <c r="D15" s="314">
        <f t="shared" si="0"/>
        <v>2.2941176470588234</v>
      </c>
      <c r="E15" s="161">
        <v>0</v>
      </c>
      <c r="F15" s="157">
        <v>0</v>
      </c>
      <c r="G15" s="183">
        <v>0</v>
      </c>
      <c r="H15" s="183">
        <v>0</v>
      </c>
      <c r="I15" s="183">
        <v>0</v>
      </c>
      <c r="J15" s="186">
        <v>0</v>
      </c>
      <c r="K15" s="157">
        <v>0</v>
      </c>
      <c r="L15" s="186">
        <v>0</v>
      </c>
      <c r="M15" s="154">
        <v>0</v>
      </c>
      <c r="N15" s="157">
        <v>0</v>
      </c>
      <c r="O15" s="165">
        <v>0</v>
      </c>
      <c r="P15" s="157">
        <v>0</v>
      </c>
      <c r="Q15" s="157">
        <v>0</v>
      </c>
      <c r="R15" s="156">
        <v>4</v>
      </c>
      <c r="S15" s="337">
        <v>10</v>
      </c>
      <c r="T15" s="347">
        <v>10</v>
      </c>
      <c r="U15" s="339">
        <v>15</v>
      </c>
      <c r="V15" s="264"/>
      <c r="W15" s="2">
        <v>24</v>
      </c>
      <c r="X15" s="18" t="s">
        <v>33</v>
      </c>
      <c r="Y15" s="314">
        <f t="shared" si="1"/>
        <v>0.29411764705882354</v>
      </c>
      <c r="Z15" s="354">
        <v>0</v>
      </c>
      <c r="AA15" s="369">
        <v>0</v>
      </c>
      <c r="AB15" s="372">
        <v>0</v>
      </c>
      <c r="AC15" s="372">
        <v>0</v>
      </c>
      <c r="AD15" s="372">
        <v>0</v>
      </c>
      <c r="AE15" s="335">
        <v>0</v>
      </c>
      <c r="AF15" s="372">
        <v>0</v>
      </c>
      <c r="AG15" s="335">
        <v>0</v>
      </c>
      <c r="AH15" s="335">
        <v>0</v>
      </c>
      <c r="AI15" s="335">
        <v>0</v>
      </c>
      <c r="AJ15" s="336">
        <v>0</v>
      </c>
      <c r="AK15" s="335">
        <v>0</v>
      </c>
      <c r="AL15" s="335">
        <v>0</v>
      </c>
      <c r="AM15" s="335">
        <v>0</v>
      </c>
      <c r="AN15" s="167">
        <v>0</v>
      </c>
      <c r="AO15" s="347">
        <v>5</v>
      </c>
      <c r="AP15" s="352">
        <v>0</v>
      </c>
      <c r="AQ15" s="91"/>
    </row>
    <row r="16" spans="2:43" ht="16.2" thickBot="1" x14ac:dyDescent="0.35">
      <c r="B16" s="1">
        <v>11</v>
      </c>
      <c r="C16" s="146" t="s">
        <v>25</v>
      </c>
      <c r="D16" s="314">
        <f t="shared" si="0"/>
        <v>16.470588235294116</v>
      </c>
      <c r="E16" s="155">
        <v>5</v>
      </c>
      <c r="F16" s="156">
        <v>35</v>
      </c>
      <c r="G16" s="184">
        <v>35</v>
      </c>
      <c r="H16" s="184">
        <v>18</v>
      </c>
      <c r="I16" s="184">
        <v>21</v>
      </c>
      <c r="J16" s="370">
        <v>0</v>
      </c>
      <c r="K16" s="340">
        <v>0</v>
      </c>
      <c r="L16" s="368">
        <v>35</v>
      </c>
      <c r="M16" s="335">
        <v>0</v>
      </c>
      <c r="N16" s="335">
        <v>0</v>
      </c>
      <c r="O16" s="341">
        <v>18</v>
      </c>
      <c r="P16" s="156">
        <v>35</v>
      </c>
      <c r="Q16" s="335">
        <v>0</v>
      </c>
      <c r="R16" s="335">
        <v>0</v>
      </c>
      <c r="S16" s="337">
        <v>35</v>
      </c>
      <c r="T16" s="338">
        <v>25</v>
      </c>
      <c r="U16" s="339">
        <v>18</v>
      </c>
      <c r="V16" s="264"/>
      <c r="W16" s="2">
        <v>25</v>
      </c>
      <c r="X16" s="146" t="s">
        <v>20</v>
      </c>
      <c r="Y16" s="314">
        <f t="shared" si="1"/>
        <v>20.823529411764707</v>
      </c>
      <c r="Z16" s="168">
        <v>18</v>
      </c>
      <c r="AA16" s="185">
        <v>28</v>
      </c>
      <c r="AB16" s="185">
        <v>18</v>
      </c>
      <c r="AC16" s="370">
        <v>0</v>
      </c>
      <c r="AD16" s="185">
        <v>28</v>
      </c>
      <c r="AE16" s="156">
        <v>21</v>
      </c>
      <c r="AF16" s="185">
        <v>28</v>
      </c>
      <c r="AG16" s="156">
        <v>22</v>
      </c>
      <c r="AH16" s="156">
        <v>35</v>
      </c>
      <c r="AI16" s="340">
        <v>0</v>
      </c>
      <c r="AJ16" s="166">
        <v>22</v>
      </c>
      <c r="AK16" s="340">
        <v>0</v>
      </c>
      <c r="AL16" s="156">
        <v>33</v>
      </c>
      <c r="AM16" s="335">
        <v>22</v>
      </c>
      <c r="AN16" s="337">
        <v>30</v>
      </c>
      <c r="AO16" s="338">
        <v>30</v>
      </c>
      <c r="AP16" s="352">
        <v>19</v>
      </c>
      <c r="AQ16" s="91"/>
    </row>
    <row r="17" spans="2:43" ht="16.2" thickBot="1" x14ac:dyDescent="0.35">
      <c r="B17" s="1">
        <v>12</v>
      </c>
      <c r="C17" s="146" t="s">
        <v>15</v>
      </c>
      <c r="D17" s="314">
        <f t="shared" si="0"/>
        <v>15.764705882352942</v>
      </c>
      <c r="E17" s="334">
        <v>0</v>
      </c>
      <c r="F17" s="156">
        <v>35</v>
      </c>
      <c r="G17" s="371">
        <v>0</v>
      </c>
      <c r="H17" s="367">
        <v>33</v>
      </c>
      <c r="I17" s="184">
        <v>32</v>
      </c>
      <c r="J17" s="185">
        <v>30</v>
      </c>
      <c r="K17" s="340">
        <v>0</v>
      </c>
      <c r="L17" s="368">
        <v>33</v>
      </c>
      <c r="M17" s="152">
        <v>32</v>
      </c>
      <c r="N17" s="340">
        <v>0</v>
      </c>
      <c r="O17" s="348">
        <v>0</v>
      </c>
      <c r="P17" s="340">
        <v>0</v>
      </c>
      <c r="Q17" s="340">
        <v>0</v>
      </c>
      <c r="R17" s="340">
        <v>0</v>
      </c>
      <c r="S17" s="337">
        <v>30</v>
      </c>
      <c r="T17" s="338">
        <v>25</v>
      </c>
      <c r="U17" s="339">
        <v>18</v>
      </c>
      <c r="V17" s="264"/>
      <c r="W17" s="1">
        <v>26</v>
      </c>
      <c r="X17" s="285" t="s">
        <v>291</v>
      </c>
      <c r="Y17" s="314">
        <f t="shared" si="1"/>
        <v>19.764705882352942</v>
      </c>
      <c r="Z17" s="168">
        <v>1</v>
      </c>
      <c r="AA17" s="185">
        <v>18</v>
      </c>
      <c r="AB17" s="185">
        <v>35</v>
      </c>
      <c r="AC17" s="185">
        <v>28</v>
      </c>
      <c r="AD17" s="185">
        <v>20</v>
      </c>
      <c r="AE17" s="156">
        <v>7</v>
      </c>
      <c r="AF17" s="185">
        <v>18</v>
      </c>
      <c r="AG17" s="340">
        <v>0</v>
      </c>
      <c r="AH17" s="156">
        <v>20</v>
      </c>
      <c r="AI17" s="156">
        <v>48</v>
      </c>
      <c r="AJ17" s="166">
        <v>35</v>
      </c>
      <c r="AK17" s="156">
        <v>18</v>
      </c>
      <c r="AL17" s="156">
        <v>22</v>
      </c>
      <c r="AM17" s="335">
        <v>0</v>
      </c>
      <c r="AN17" s="337">
        <v>33</v>
      </c>
      <c r="AO17" s="338">
        <v>15</v>
      </c>
      <c r="AP17" s="352">
        <v>18</v>
      </c>
      <c r="AQ17" s="91"/>
    </row>
    <row r="18" spans="2:43" ht="16.2" thickBot="1" x14ac:dyDescent="0.35">
      <c r="B18" s="1">
        <v>13</v>
      </c>
      <c r="C18" s="18" t="s">
        <v>26</v>
      </c>
      <c r="D18" s="314">
        <f t="shared" si="0"/>
        <v>26.235294117647058</v>
      </c>
      <c r="E18" s="156">
        <v>18</v>
      </c>
      <c r="F18" s="156">
        <v>15</v>
      </c>
      <c r="G18" s="185">
        <v>21</v>
      </c>
      <c r="H18" s="185">
        <v>35</v>
      </c>
      <c r="I18" s="185">
        <v>21</v>
      </c>
      <c r="J18" s="185">
        <v>28</v>
      </c>
      <c r="K18" s="156">
        <v>35</v>
      </c>
      <c r="L18" s="185">
        <v>2</v>
      </c>
      <c r="M18" s="156">
        <v>26</v>
      </c>
      <c r="N18" s="156">
        <v>35</v>
      </c>
      <c r="O18" s="171">
        <v>33</v>
      </c>
      <c r="P18" s="156">
        <v>33</v>
      </c>
      <c r="Q18" s="156">
        <v>34</v>
      </c>
      <c r="R18" s="171">
        <v>35</v>
      </c>
      <c r="S18" s="337">
        <v>30</v>
      </c>
      <c r="T18" s="338">
        <v>10</v>
      </c>
      <c r="U18" s="339">
        <v>35</v>
      </c>
      <c r="V18" s="264"/>
      <c r="W18" s="2">
        <v>27</v>
      </c>
      <c r="X18" s="146" t="s">
        <v>21</v>
      </c>
      <c r="Y18" s="314">
        <f t="shared" si="1"/>
        <v>16.058823529411764</v>
      </c>
      <c r="Z18" s="355">
        <v>0</v>
      </c>
      <c r="AA18" s="185">
        <v>30</v>
      </c>
      <c r="AB18" s="185">
        <v>28</v>
      </c>
      <c r="AC18" s="370">
        <v>0</v>
      </c>
      <c r="AD18" s="185">
        <v>18</v>
      </c>
      <c r="AE18" s="156">
        <v>33</v>
      </c>
      <c r="AF18" s="185">
        <v>14</v>
      </c>
      <c r="AG18" s="156">
        <v>30</v>
      </c>
      <c r="AH18" s="340">
        <v>0</v>
      </c>
      <c r="AI18" s="156">
        <v>14</v>
      </c>
      <c r="AJ18" s="340">
        <v>0</v>
      </c>
      <c r="AK18" s="340">
        <v>0</v>
      </c>
      <c r="AL18" s="156">
        <v>33</v>
      </c>
      <c r="AM18" s="335">
        <v>0</v>
      </c>
      <c r="AN18" s="356">
        <v>30</v>
      </c>
      <c r="AO18" s="357">
        <v>25</v>
      </c>
      <c r="AP18" s="352">
        <v>18</v>
      </c>
      <c r="AQ18" s="91"/>
    </row>
    <row r="19" spans="2:43" ht="24" thickBot="1" x14ac:dyDescent="0.35">
      <c r="B19" s="1">
        <v>14</v>
      </c>
      <c r="C19" s="18" t="s">
        <v>16</v>
      </c>
      <c r="D19" s="314">
        <f t="shared" si="0"/>
        <v>34.705882352941174</v>
      </c>
      <c r="E19" s="156">
        <v>35</v>
      </c>
      <c r="F19" s="156">
        <v>35</v>
      </c>
      <c r="G19" s="185">
        <v>35</v>
      </c>
      <c r="H19" s="368">
        <v>35</v>
      </c>
      <c r="I19" s="185">
        <v>30</v>
      </c>
      <c r="J19" s="185">
        <v>35</v>
      </c>
      <c r="K19" s="156">
        <v>35</v>
      </c>
      <c r="L19" s="185">
        <v>35</v>
      </c>
      <c r="M19" s="156">
        <v>35</v>
      </c>
      <c r="N19" s="156">
        <v>35</v>
      </c>
      <c r="O19" s="156">
        <v>35</v>
      </c>
      <c r="P19" s="156">
        <v>35</v>
      </c>
      <c r="Q19" s="156">
        <v>35</v>
      </c>
      <c r="R19" s="171">
        <v>35</v>
      </c>
      <c r="S19" s="337">
        <v>35</v>
      </c>
      <c r="T19" s="338">
        <v>35</v>
      </c>
      <c r="U19" s="339">
        <v>35</v>
      </c>
      <c r="V19" s="264"/>
      <c r="W19" s="2">
        <v>28</v>
      </c>
      <c r="X19" s="296" t="s">
        <v>63</v>
      </c>
      <c r="Y19" s="314">
        <f t="shared" si="1"/>
        <v>30.882352941176471</v>
      </c>
      <c r="Z19" s="358">
        <v>35</v>
      </c>
      <c r="AA19" s="373">
        <v>35</v>
      </c>
      <c r="AB19" s="373">
        <v>35</v>
      </c>
      <c r="AC19" s="373">
        <v>35</v>
      </c>
      <c r="AD19" s="373">
        <v>28</v>
      </c>
      <c r="AE19" s="359">
        <v>35</v>
      </c>
      <c r="AF19" s="373">
        <v>30</v>
      </c>
      <c r="AG19" s="359">
        <v>30</v>
      </c>
      <c r="AH19" s="360">
        <v>35</v>
      </c>
      <c r="AI19" s="359">
        <v>35</v>
      </c>
      <c r="AJ19" s="359">
        <v>22</v>
      </c>
      <c r="AK19" s="359">
        <v>22</v>
      </c>
      <c r="AL19" s="360">
        <v>35</v>
      </c>
      <c r="AM19" s="359">
        <v>33</v>
      </c>
      <c r="AN19" s="361">
        <v>30</v>
      </c>
      <c r="AO19" s="362">
        <v>15</v>
      </c>
      <c r="AP19" s="363">
        <v>35</v>
      </c>
      <c r="AQ19" s="364"/>
    </row>
    <row r="20" spans="2:43" ht="26.4" customHeight="1" thickBot="1" x14ac:dyDescent="0.35">
      <c r="C20" s="73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301">
        <v>29</v>
      </c>
      <c r="X20" s="18" t="s">
        <v>303</v>
      </c>
      <c r="Y20" s="314">
        <f t="shared" si="1"/>
        <v>9.5294117647058822</v>
      </c>
      <c r="Z20" s="72">
        <v>18</v>
      </c>
      <c r="AA20" s="365"/>
      <c r="AB20" s="365"/>
      <c r="AC20" s="365"/>
      <c r="AD20" s="365"/>
      <c r="AE20" s="365"/>
      <c r="AF20" s="365"/>
      <c r="AG20" s="365"/>
      <c r="AH20" s="365">
        <v>22</v>
      </c>
      <c r="AI20" s="365">
        <v>35</v>
      </c>
      <c r="AJ20" s="366">
        <v>0</v>
      </c>
      <c r="AK20" s="365">
        <v>7</v>
      </c>
      <c r="AL20" s="366">
        <v>0</v>
      </c>
      <c r="AM20" s="365">
        <v>29</v>
      </c>
      <c r="AN20" s="356">
        <v>18</v>
      </c>
      <c r="AO20" s="357">
        <v>15</v>
      </c>
      <c r="AP20" s="352">
        <v>18</v>
      </c>
      <c r="AQ20" s="365"/>
    </row>
    <row r="21" spans="2:43" ht="21" x14ac:dyDescent="0.3">
      <c r="B21" s="757" t="s">
        <v>146</v>
      </c>
      <c r="C21" s="757"/>
      <c r="D21" s="757"/>
      <c r="E21" s="757"/>
      <c r="F21" s="757"/>
      <c r="G21" s="757"/>
      <c r="H21" s="757"/>
      <c r="I21" s="757"/>
      <c r="J21" s="757"/>
      <c r="K21" s="757"/>
      <c r="L21" s="757"/>
      <c r="M21" s="757"/>
      <c r="N21" s="757"/>
      <c r="O21" s="757"/>
      <c r="P21" s="757"/>
      <c r="Q21" s="757"/>
      <c r="R21" s="757"/>
      <c r="S21" s="757"/>
      <c r="T21" s="757"/>
      <c r="U21" s="757"/>
      <c r="V21" s="757"/>
      <c r="W21" s="757"/>
      <c r="X21" s="757"/>
      <c r="Y21" s="757"/>
      <c r="Z21" s="757"/>
      <c r="AA21" s="757"/>
      <c r="AB21" s="757"/>
      <c r="AC21" s="757"/>
      <c r="AD21" s="757"/>
      <c r="AE21" s="757"/>
      <c r="AF21" s="757"/>
      <c r="AG21" s="757"/>
      <c r="AH21" s="757"/>
      <c r="AI21" s="757"/>
      <c r="AJ21" s="757"/>
      <c r="AK21" s="757"/>
      <c r="AL21" s="757"/>
      <c r="AM21" s="757"/>
      <c r="AN21" s="757"/>
      <c r="AO21" s="757"/>
      <c r="AP21" s="757"/>
      <c r="AQ21" s="757"/>
    </row>
    <row r="22" spans="2:43" ht="18" x14ac:dyDescent="0.3">
      <c r="B22" s="758" t="s">
        <v>34</v>
      </c>
      <c r="C22" s="759"/>
      <c r="D22" s="760" t="s">
        <v>1</v>
      </c>
      <c r="E22" s="771" t="s">
        <v>53</v>
      </c>
      <c r="F22" s="771"/>
      <c r="G22" s="771"/>
      <c r="H22" s="771"/>
      <c r="I22" s="771"/>
      <c r="J22" s="771"/>
      <c r="K22" s="771"/>
      <c r="L22" s="771"/>
      <c r="M22" s="771"/>
      <c r="N22" s="771"/>
      <c r="O22" s="771"/>
      <c r="P22" s="771"/>
      <c r="Q22" s="771"/>
      <c r="R22" s="771"/>
      <c r="S22" s="771"/>
      <c r="T22" s="771"/>
      <c r="U22" s="771"/>
      <c r="V22" s="771"/>
      <c r="W22" s="762" t="s">
        <v>34</v>
      </c>
      <c r="X22" s="759"/>
      <c r="Y22" s="760" t="s">
        <v>1</v>
      </c>
      <c r="Z22" s="771" t="s">
        <v>53</v>
      </c>
      <c r="AA22" s="771"/>
      <c r="AB22" s="771"/>
      <c r="AC22" s="771"/>
      <c r="AD22" s="771"/>
      <c r="AE22" s="771"/>
      <c r="AF22" s="771"/>
      <c r="AG22" s="771"/>
      <c r="AH22" s="771"/>
      <c r="AI22" s="771"/>
      <c r="AJ22" s="771"/>
      <c r="AK22" s="771"/>
      <c r="AL22" s="771"/>
      <c r="AM22" s="771"/>
      <c r="AN22" s="771"/>
      <c r="AO22" s="771"/>
      <c r="AP22" s="771"/>
      <c r="AQ22" s="771"/>
    </row>
    <row r="23" spans="2:43" x14ac:dyDescent="0.3">
      <c r="B23" s="758"/>
      <c r="C23" s="759"/>
      <c r="D23" s="760"/>
      <c r="E23" s="70">
        <v>1</v>
      </c>
      <c r="F23" s="95">
        <v>2</v>
      </c>
      <c r="G23" s="95">
        <v>3</v>
      </c>
      <c r="H23" s="95">
        <v>4</v>
      </c>
      <c r="I23" s="95">
        <v>5</v>
      </c>
      <c r="J23" s="95">
        <v>6</v>
      </c>
      <c r="K23" s="95">
        <v>7</v>
      </c>
      <c r="L23" s="95">
        <v>8</v>
      </c>
      <c r="M23" s="95">
        <v>9</v>
      </c>
      <c r="N23" s="95">
        <v>10</v>
      </c>
      <c r="O23" s="95">
        <v>11</v>
      </c>
      <c r="P23" s="95">
        <v>12</v>
      </c>
      <c r="Q23" s="95">
        <v>13</v>
      </c>
      <c r="R23" s="95">
        <v>14</v>
      </c>
      <c r="S23" s="95">
        <v>15</v>
      </c>
      <c r="T23" s="95">
        <v>16</v>
      </c>
      <c r="U23" s="95">
        <v>17</v>
      </c>
      <c r="V23" s="95">
        <v>18</v>
      </c>
      <c r="W23" s="762"/>
      <c r="X23" s="759"/>
      <c r="Y23" s="760"/>
      <c r="Z23" s="70">
        <v>1</v>
      </c>
      <c r="AA23" s="95">
        <v>2</v>
      </c>
      <c r="AB23" s="95">
        <v>3</v>
      </c>
      <c r="AC23" s="95">
        <v>4</v>
      </c>
      <c r="AD23" s="95">
        <v>5</v>
      </c>
      <c r="AE23" s="95">
        <v>6</v>
      </c>
      <c r="AF23" s="95">
        <v>7</v>
      </c>
      <c r="AG23" s="95">
        <v>8</v>
      </c>
      <c r="AH23" s="95">
        <v>9</v>
      </c>
      <c r="AI23" s="95">
        <v>10</v>
      </c>
      <c r="AJ23" s="95">
        <v>11</v>
      </c>
      <c r="AK23" s="72">
        <v>12</v>
      </c>
      <c r="AL23" s="72">
        <v>13</v>
      </c>
      <c r="AM23" s="72">
        <v>14</v>
      </c>
      <c r="AN23" s="72">
        <v>15</v>
      </c>
      <c r="AO23" s="72">
        <v>16</v>
      </c>
      <c r="AP23" s="72">
        <v>17</v>
      </c>
      <c r="AQ23" s="72">
        <v>18</v>
      </c>
    </row>
    <row r="24" spans="2:43" x14ac:dyDescent="0.3">
      <c r="B24" s="758"/>
      <c r="C24" s="759"/>
      <c r="D24" s="760"/>
      <c r="E24" s="763" t="s">
        <v>3</v>
      </c>
      <c r="F24" s="764"/>
      <c r="G24" s="764"/>
      <c r="H24" s="764"/>
      <c r="I24" s="764"/>
      <c r="J24" s="764"/>
      <c r="K24" s="764"/>
      <c r="L24" s="764"/>
      <c r="M24" s="764"/>
      <c r="N24" s="764"/>
      <c r="O24" s="764"/>
      <c r="P24" s="764"/>
      <c r="Q24" s="764"/>
      <c r="R24" s="764"/>
      <c r="S24" s="765"/>
      <c r="T24" s="74"/>
      <c r="U24" s="76"/>
      <c r="V24" s="76"/>
      <c r="W24" s="762"/>
      <c r="X24" s="759"/>
      <c r="Y24" s="760"/>
      <c r="Z24" s="766" t="s">
        <v>3</v>
      </c>
      <c r="AA24" s="766"/>
      <c r="AB24" s="766"/>
      <c r="AC24" s="766"/>
      <c r="AD24" s="766"/>
      <c r="AE24" s="766"/>
      <c r="AF24" s="766"/>
      <c r="AG24" s="766"/>
      <c r="AH24" s="766"/>
      <c r="AI24" s="766"/>
      <c r="AJ24" s="766"/>
      <c r="AK24" s="766"/>
      <c r="AL24" s="766"/>
      <c r="AM24" s="766"/>
      <c r="AN24" s="766"/>
      <c r="AO24" s="77"/>
      <c r="AP24" s="77"/>
      <c r="AQ24" s="77"/>
    </row>
    <row r="25" spans="2:43" ht="151.80000000000001" customHeight="1" x14ac:dyDescent="0.3">
      <c r="B25" s="758"/>
      <c r="C25" s="759"/>
      <c r="D25" s="760"/>
      <c r="E25" s="93" t="s">
        <v>147</v>
      </c>
      <c r="F25" s="96" t="s">
        <v>151</v>
      </c>
      <c r="G25" s="96" t="s">
        <v>156</v>
      </c>
      <c r="H25" s="96" t="s">
        <v>299</v>
      </c>
      <c r="I25" s="96" t="s">
        <v>298</v>
      </c>
      <c r="J25" s="290" t="s">
        <v>302</v>
      </c>
      <c r="K25" s="300" t="s">
        <v>310</v>
      </c>
      <c r="L25" s="304" t="s">
        <v>312</v>
      </c>
      <c r="M25" s="150" t="s">
        <v>318</v>
      </c>
      <c r="N25" s="151" t="s">
        <v>319</v>
      </c>
      <c r="O25" s="311" t="s">
        <v>321</v>
      </c>
      <c r="P25" s="313" t="s">
        <v>131</v>
      </c>
      <c r="Q25" s="321" t="s">
        <v>349</v>
      </c>
      <c r="R25" s="75"/>
      <c r="S25" s="96"/>
      <c r="T25" s="96"/>
      <c r="U25" s="96"/>
      <c r="V25" s="96"/>
      <c r="W25" s="762"/>
      <c r="X25" s="759"/>
      <c r="Y25" s="760"/>
      <c r="Z25" s="93" t="s">
        <v>147</v>
      </c>
      <c r="AA25" s="96" t="s">
        <v>151</v>
      </c>
      <c r="AB25" s="96" t="s">
        <v>156</v>
      </c>
      <c r="AC25" s="96" t="s">
        <v>299</v>
      </c>
      <c r="AD25" s="96" t="s">
        <v>298</v>
      </c>
      <c r="AE25" s="290" t="s">
        <v>302</v>
      </c>
      <c r="AF25" s="300" t="s">
        <v>310</v>
      </c>
      <c r="AG25" s="304" t="s">
        <v>312</v>
      </c>
      <c r="AH25" s="150" t="s">
        <v>318</v>
      </c>
      <c r="AI25" s="151" t="s">
        <v>319</v>
      </c>
      <c r="AJ25" s="311" t="s">
        <v>321</v>
      </c>
      <c r="AK25" s="313" t="s">
        <v>131</v>
      </c>
      <c r="AL25" s="321" t="s">
        <v>349</v>
      </c>
      <c r="AM25" s="75"/>
      <c r="AN25" s="96"/>
      <c r="AO25" s="96"/>
      <c r="AP25" s="96"/>
      <c r="AQ25" s="96"/>
    </row>
    <row r="26" spans="2:43" ht="15.6" x14ac:dyDescent="0.3">
      <c r="B26" s="1">
        <v>1</v>
      </c>
      <c r="C26" s="407" t="s">
        <v>10</v>
      </c>
      <c r="D26" s="413">
        <f>((E26+F26+G26+H26+I26+J26+K26+L26+M26+N26)/10)</f>
        <v>13</v>
      </c>
      <c r="E26" s="155">
        <v>18</v>
      </c>
      <c r="F26" s="152">
        <v>18</v>
      </c>
      <c r="G26" s="152">
        <v>18</v>
      </c>
      <c r="H26" s="154">
        <v>0</v>
      </c>
      <c r="I26" s="152">
        <v>25</v>
      </c>
      <c r="J26" s="154">
        <v>18</v>
      </c>
      <c r="K26" s="153">
        <v>18</v>
      </c>
      <c r="L26" s="375">
        <v>0</v>
      </c>
      <c r="M26" s="152">
        <v>0</v>
      </c>
      <c r="N26" s="152">
        <v>15</v>
      </c>
      <c r="O26" s="376">
        <v>15</v>
      </c>
      <c r="P26" s="377">
        <v>18</v>
      </c>
      <c r="Q26" s="378"/>
      <c r="R26" s="259"/>
      <c r="S26" s="259"/>
      <c r="T26" s="259"/>
      <c r="U26" s="259"/>
      <c r="V26" s="259"/>
      <c r="W26" s="2">
        <v>15</v>
      </c>
      <c r="X26" s="425" t="s">
        <v>336</v>
      </c>
      <c r="Y26" s="413">
        <f>((Z26+AA26+AB26+AC26+AD26+AE26+AF26+AG26+AH26+AI26)/10)</f>
        <v>15.5</v>
      </c>
      <c r="Z26" s="354">
        <v>0</v>
      </c>
      <c r="AA26" s="329">
        <v>0</v>
      </c>
      <c r="AB26" s="154">
        <v>18</v>
      </c>
      <c r="AC26" s="152">
        <v>25</v>
      </c>
      <c r="AD26" s="152">
        <v>18</v>
      </c>
      <c r="AE26" s="152">
        <v>30</v>
      </c>
      <c r="AF26" s="163">
        <v>15</v>
      </c>
      <c r="AG26" s="375">
        <v>5</v>
      </c>
      <c r="AH26" s="154">
        <v>9</v>
      </c>
      <c r="AI26" s="152">
        <v>35</v>
      </c>
      <c r="AJ26" s="376">
        <v>27</v>
      </c>
      <c r="AK26" s="377">
        <v>28</v>
      </c>
      <c r="AL26" s="152">
        <v>33</v>
      </c>
      <c r="AM26" s="279"/>
      <c r="AN26" s="279"/>
      <c r="AO26" s="270"/>
      <c r="AP26" s="270"/>
      <c r="AQ26" s="270"/>
    </row>
    <row r="27" spans="2:43" ht="15.6" x14ac:dyDescent="0.3">
      <c r="B27" s="1">
        <v>2</v>
      </c>
      <c r="C27" s="406" t="s">
        <v>22</v>
      </c>
      <c r="D27" s="413">
        <f t="shared" ref="D27:D39" si="2">((E27+F27+G27+H27+I27+J27+K27+L27+M27+N27)/10)</f>
        <v>20.7</v>
      </c>
      <c r="E27" s="155">
        <v>35</v>
      </c>
      <c r="F27" s="156">
        <v>30</v>
      </c>
      <c r="G27" s="152">
        <v>30</v>
      </c>
      <c r="H27" s="152">
        <v>20</v>
      </c>
      <c r="I27" s="152">
        <v>5</v>
      </c>
      <c r="J27" s="157">
        <v>25</v>
      </c>
      <c r="K27" s="157">
        <v>15</v>
      </c>
      <c r="L27" s="379">
        <v>5</v>
      </c>
      <c r="M27" s="156">
        <v>32</v>
      </c>
      <c r="N27" s="156">
        <v>10</v>
      </c>
      <c r="O27" s="380">
        <v>18</v>
      </c>
      <c r="P27" s="381">
        <v>22</v>
      </c>
      <c r="Q27" s="382"/>
      <c r="R27" s="264"/>
      <c r="S27" s="264"/>
      <c r="T27" s="264"/>
      <c r="U27" s="264"/>
      <c r="V27" s="264"/>
      <c r="W27" s="2">
        <v>16</v>
      </c>
      <c r="X27" s="425" t="s">
        <v>337</v>
      </c>
      <c r="Y27" s="413">
        <f t="shared" ref="Y27:Y39" si="3">((Z27+AA27+AB27+AC27+AD27+AE27+AF27+AG27+AH27+AI27)/10)</f>
        <v>18.2</v>
      </c>
      <c r="Z27" s="179">
        <v>0</v>
      </c>
      <c r="AA27" s="156">
        <v>28</v>
      </c>
      <c r="AB27" s="156">
        <v>35</v>
      </c>
      <c r="AC27" s="156">
        <v>35</v>
      </c>
      <c r="AD27" s="156">
        <v>35</v>
      </c>
      <c r="AE27" s="156">
        <v>35</v>
      </c>
      <c r="AF27" s="335">
        <v>0</v>
      </c>
      <c r="AG27" s="379">
        <v>5</v>
      </c>
      <c r="AH27" s="156">
        <v>9</v>
      </c>
      <c r="AI27" s="156">
        <v>0</v>
      </c>
      <c r="AJ27" s="380">
        <v>20</v>
      </c>
      <c r="AK27" s="381">
        <v>35</v>
      </c>
      <c r="AL27" s="385">
        <v>35</v>
      </c>
      <c r="AM27" s="280"/>
      <c r="AN27" s="280"/>
      <c r="AO27" s="272"/>
      <c r="AP27" s="272"/>
      <c r="AQ27" s="272"/>
    </row>
    <row r="28" spans="2:43" ht="15.6" x14ac:dyDescent="0.3">
      <c r="B28" s="1">
        <v>3</v>
      </c>
      <c r="C28" s="425" t="s">
        <v>326</v>
      </c>
      <c r="D28" s="413">
        <f t="shared" si="2"/>
        <v>22.1</v>
      </c>
      <c r="E28" s="155">
        <v>21</v>
      </c>
      <c r="F28" s="156">
        <v>2</v>
      </c>
      <c r="G28" s="152">
        <v>30</v>
      </c>
      <c r="H28" s="152">
        <v>35</v>
      </c>
      <c r="I28" s="152">
        <v>20</v>
      </c>
      <c r="J28" s="156">
        <v>35</v>
      </c>
      <c r="K28" s="156">
        <v>35</v>
      </c>
      <c r="L28" s="379">
        <v>5</v>
      </c>
      <c r="M28" s="152">
        <v>18</v>
      </c>
      <c r="N28" s="156">
        <v>20</v>
      </c>
      <c r="O28" s="380">
        <v>20</v>
      </c>
      <c r="P28" s="381">
        <v>33</v>
      </c>
      <c r="Q28" s="382"/>
      <c r="R28" s="264"/>
      <c r="S28" s="264"/>
      <c r="T28" s="264"/>
      <c r="U28" s="264"/>
      <c r="V28" s="264"/>
      <c r="W28" s="1">
        <v>17</v>
      </c>
      <c r="X28" s="425" t="s">
        <v>338</v>
      </c>
      <c r="Y28" s="413">
        <f t="shared" si="3"/>
        <v>31.4</v>
      </c>
      <c r="Z28" s="164">
        <v>35</v>
      </c>
      <c r="AA28" s="156">
        <v>35</v>
      </c>
      <c r="AB28" s="156">
        <v>35</v>
      </c>
      <c r="AC28" s="156">
        <v>35</v>
      </c>
      <c r="AD28" s="156">
        <v>30</v>
      </c>
      <c r="AE28" s="156">
        <v>25</v>
      </c>
      <c r="AF28" s="156">
        <v>35</v>
      </c>
      <c r="AG28" s="379">
        <v>20</v>
      </c>
      <c r="AH28" s="156">
        <v>29</v>
      </c>
      <c r="AI28" s="156">
        <v>35</v>
      </c>
      <c r="AJ28" s="380">
        <v>35</v>
      </c>
      <c r="AK28" s="386">
        <v>35</v>
      </c>
      <c r="AL28" s="385">
        <v>35</v>
      </c>
      <c r="AM28" s="280"/>
      <c r="AN28" s="280"/>
      <c r="AO28" s="272"/>
      <c r="AP28" s="272"/>
      <c r="AQ28" s="272"/>
    </row>
    <row r="29" spans="2:43" ht="15.6" x14ac:dyDescent="0.3">
      <c r="B29" s="1">
        <v>4</v>
      </c>
      <c r="C29" s="408" t="s">
        <v>327</v>
      </c>
      <c r="D29" s="413">
        <f t="shared" si="2"/>
        <v>22.2</v>
      </c>
      <c r="E29" s="155">
        <v>35</v>
      </c>
      <c r="F29" s="156">
        <v>18</v>
      </c>
      <c r="G29" s="152">
        <v>35</v>
      </c>
      <c r="H29" s="152">
        <v>15</v>
      </c>
      <c r="I29" s="152">
        <v>20</v>
      </c>
      <c r="J29" s="156">
        <v>30</v>
      </c>
      <c r="K29" s="156">
        <v>30</v>
      </c>
      <c r="L29" s="379">
        <v>15</v>
      </c>
      <c r="M29" s="156">
        <v>9</v>
      </c>
      <c r="N29" s="158">
        <v>15</v>
      </c>
      <c r="O29" s="380">
        <v>23</v>
      </c>
      <c r="P29" s="383">
        <v>35</v>
      </c>
      <c r="Q29" s="158">
        <v>35</v>
      </c>
      <c r="R29" s="265"/>
      <c r="S29" s="265"/>
      <c r="T29" s="265"/>
      <c r="U29" s="265"/>
      <c r="V29" s="265"/>
      <c r="W29" s="2">
        <v>18</v>
      </c>
      <c r="X29" s="425" t="s">
        <v>339</v>
      </c>
      <c r="Y29" s="413">
        <f t="shared" si="3"/>
        <v>32.9</v>
      </c>
      <c r="Z29" s="164">
        <v>35</v>
      </c>
      <c r="AA29" s="156">
        <v>35</v>
      </c>
      <c r="AB29" s="156">
        <v>35</v>
      </c>
      <c r="AC29" s="156">
        <v>35</v>
      </c>
      <c r="AD29" s="156">
        <v>35</v>
      </c>
      <c r="AE29" s="156">
        <v>35</v>
      </c>
      <c r="AF29" s="156">
        <v>35</v>
      </c>
      <c r="AG29" s="379">
        <v>20</v>
      </c>
      <c r="AH29" s="156">
        <v>29</v>
      </c>
      <c r="AI29" s="156">
        <v>35</v>
      </c>
      <c r="AJ29" s="380">
        <v>35</v>
      </c>
      <c r="AK29" s="381">
        <v>35</v>
      </c>
      <c r="AL29" s="156">
        <v>35</v>
      </c>
      <c r="AM29" s="280"/>
      <c r="AN29" s="280"/>
      <c r="AO29" s="272"/>
      <c r="AP29" s="272"/>
      <c r="AQ29" s="272"/>
    </row>
    <row r="30" spans="2:43" ht="15.6" x14ac:dyDescent="0.3">
      <c r="B30" s="1">
        <v>5</v>
      </c>
      <c r="C30" s="425" t="s">
        <v>328</v>
      </c>
      <c r="D30" s="413">
        <f t="shared" si="2"/>
        <v>15.9</v>
      </c>
      <c r="E30" s="161">
        <v>0</v>
      </c>
      <c r="F30" s="157">
        <v>35</v>
      </c>
      <c r="G30" s="152">
        <v>35</v>
      </c>
      <c r="H30" s="152">
        <v>35</v>
      </c>
      <c r="I30" s="154">
        <v>15</v>
      </c>
      <c r="J30" s="156">
        <v>18</v>
      </c>
      <c r="K30" s="340">
        <v>0</v>
      </c>
      <c r="L30" s="379">
        <v>15</v>
      </c>
      <c r="M30" s="152">
        <v>6</v>
      </c>
      <c r="N30" s="340">
        <v>0</v>
      </c>
      <c r="O30" s="380">
        <v>27</v>
      </c>
      <c r="P30" s="381">
        <v>30</v>
      </c>
      <c r="Q30" s="382"/>
      <c r="R30" s="264"/>
      <c r="S30" s="264"/>
      <c r="T30" s="264"/>
      <c r="U30" s="264"/>
      <c r="V30" s="264"/>
      <c r="W30" s="2">
        <v>19</v>
      </c>
      <c r="X30" s="408" t="s">
        <v>29</v>
      </c>
      <c r="Y30" s="413">
        <f t="shared" si="3"/>
        <v>16.899999999999999</v>
      </c>
      <c r="Z30" s="164">
        <v>18</v>
      </c>
      <c r="AA30" s="157">
        <v>18</v>
      </c>
      <c r="AB30" s="157">
        <v>18</v>
      </c>
      <c r="AC30" s="157">
        <v>35</v>
      </c>
      <c r="AD30" s="156">
        <v>30</v>
      </c>
      <c r="AE30" s="156">
        <v>20</v>
      </c>
      <c r="AF30" s="335">
        <v>0</v>
      </c>
      <c r="AG30" s="379">
        <v>0</v>
      </c>
      <c r="AH30" s="335">
        <v>0</v>
      </c>
      <c r="AI30" s="156">
        <v>30</v>
      </c>
      <c r="AJ30" s="380">
        <v>8</v>
      </c>
      <c r="AK30" s="386">
        <v>22</v>
      </c>
      <c r="AL30" s="385">
        <v>35</v>
      </c>
      <c r="AM30" s="280"/>
      <c r="AN30" s="280"/>
      <c r="AO30" s="272"/>
      <c r="AP30" s="272"/>
      <c r="AQ30" s="272"/>
    </row>
    <row r="31" spans="2:43" ht="15.6" x14ac:dyDescent="0.3">
      <c r="B31" s="1">
        <v>6</v>
      </c>
      <c r="C31" s="425" t="s">
        <v>329</v>
      </c>
      <c r="D31" s="413">
        <f t="shared" si="2"/>
        <v>18.600000000000001</v>
      </c>
      <c r="E31" s="155">
        <v>30</v>
      </c>
      <c r="F31" s="156">
        <v>18</v>
      </c>
      <c r="G31" s="152">
        <v>30</v>
      </c>
      <c r="H31" s="152">
        <v>30</v>
      </c>
      <c r="I31" s="152">
        <v>30</v>
      </c>
      <c r="J31" s="335">
        <v>0</v>
      </c>
      <c r="K31" s="335">
        <v>0</v>
      </c>
      <c r="L31" s="379">
        <v>10</v>
      </c>
      <c r="M31" s="156">
        <v>18</v>
      </c>
      <c r="N31" s="156">
        <v>20</v>
      </c>
      <c r="O31" s="380">
        <v>18</v>
      </c>
      <c r="P31" s="381">
        <v>22</v>
      </c>
      <c r="Q31" s="382"/>
      <c r="R31" s="264"/>
      <c r="S31" s="264"/>
      <c r="T31" s="264"/>
      <c r="U31" s="264"/>
      <c r="V31" s="264"/>
      <c r="W31" s="1">
        <v>20</v>
      </c>
      <c r="X31" s="425" t="s">
        <v>340</v>
      </c>
      <c r="Y31" s="413">
        <f t="shared" si="3"/>
        <v>30.3</v>
      </c>
      <c r="Z31" s="164">
        <v>35</v>
      </c>
      <c r="AA31" s="156">
        <v>35</v>
      </c>
      <c r="AB31" s="156">
        <v>35</v>
      </c>
      <c r="AC31" s="156">
        <v>35</v>
      </c>
      <c r="AD31" s="156">
        <v>35</v>
      </c>
      <c r="AE31" s="156">
        <v>25</v>
      </c>
      <c r="AF31" s="156">
        <v>35</v>
      </c>
      <c r="AG31" s="379">
        <v>20</v>
      </c>
      <c r="AH31" s="156">
        <v>18</v>
      </c>
      <c r="AI31" s="156">
        <v>30</v>
      </c>
      <c r="AJ31" s="380">
        <v>27</v>
      </c>
      <c r="AK31" s="386">
        <v>35</v>
      </c>
      <c r="AL31" s="385">
        <v>35</v>
      </c>
      <c r="AM31" s="280"/>
      <c r="AN31" s="280"/>
      <c r="AO31" s="272"/>
      <c r="AP31" s="272"/>
      <c r="AQ31" s="272"/>
    </row>
    <row r="32" spans="2:43" ht="15.6" x14ac:dyDescent="0.3">
      <c r="B32" s="1">
        <v>7</v>
      </c>
      <c r="C32" s="425" t="s">
        <v>330</v>
      </c>
      <c r="D32" s="413">
        <f t="shared" si="2"/>
        <v>1.8</v>
      </c>
      <c r="E32" s="334">
        <v>0</v>
      </c>
      <c r="F32" s="335">
        <v>0</v>
      </c>
      <c r="G32" s="154">
        <v>18</v>
      </c>
      <c r="H32" s="346">
        <v>0</v>
      </c>
      <c r="I32" s="346">
        <v>0</v>
      </c>
      <c r="J32" s="335">
        <v>0</v>
      </c>
      <c r="K32" s="335">
        <v>0</v>
      </c>
      <c r="L32" s="379">
        <v>0</v>
      </c>
      <c r="M32" s="346">
        <v>0</v>
      </c>
      <c r="N32" s="335">
        <v>0</v>
      </c>
      <c r="O32" s="380">
        <v>13</v>
      </c>
      <c r="P32" s="381">
        <v>15</v>
      </c>
      <c r="Q32" s="382"/>
      <c r="R32" s="264"/>
      <c r="S32" s="264"/>
      <c r="T32" s="264"/>
      <c r="U32" s="264"/>
      <c r="V32" s="264"/>
      <c r="W32" s="2">
        <v>21</v>
      </c>
      <c r="X32" s="426" t="s">
        <v>341</v>
      </c>
      <c r="Y32" s="413">
        <f t="shared" si="3"/>
        <v>8</v>
      </c>
      <c r="Z32" s="179">
        <v>18</v>
      </c>
      <c r="AA32" s="157">
        <v>14</v>
      </c>
      <c r="AB32" s="157">
        <v>0</v>
      </c>
      <c r="AC32" s="157">
        <v>20</v>
      </c>
      <c r="AD32" s="156">
        <v>18</v>
      </c>
      <c r="AE32" s="157"/>
      <c r="AF32" s="156"/>
      <c r="AG32" s="379">
        <v>10</v>
      </c>
      <c r="AH32" s="156">
        <v>0</v>
      </c>
      <c r="AI32" s="156">
        <v>0</v>
      </c>
      <c r="AJ32" s="380">
        <v>10</v>
      </c>
      <c r="AK32" s="386">
        <v>10</v>
      </c>
      <c r="AL32" s="385"/>
      <c r="AM32" s="280"/>
      <c r="AN32" s="280"/>
      <c r="AO32" s="272"/>
      <c r="AP32" s="272"/>
      <c r="AQ32" s="272"/>
    </row>
    <row r="33" spans="2:43" ht="15.6" x14ac:dyDescent="0.3">
      <c r="B33" s="1">
        <v>8</v>
      </c>
      <c r="C33" s="425" t="s">
        <v>331</v>
      </c>
      <c r="D33" s="413">
        <f t="shared" si="2"/>
        <v>27.8</v>
      </c>
      <c r="E33" s="160">
        <v>35</v>
      </c>
      <c r="F33" s="156">
        <v>35</v>
      </c>
      <c r="G33" s="152">
        <v>35</v>
      </c>
      <c r="H33" s="152">
        <v>35</v>
      </c>
      <c r="I33" s="152">
        <v>20</v>
      </c>
      <c r="J33" s="156">
        <v>30</v>
      </c>
      <c r="K33" s="156">
        <v>35</v>
      </c>
      <c r="L33" s="379">
        <v>20</v>
      </c>
      <c r="M33" s="156">
        <v>0</v>
      </c>
      <c r="N33" s="156">
        <v>33</v>
      </c>
      <c r="O33" s="380">
        <v>19</v>
      </c>
      <c r="P33" s="381">
        <v>35</v>
      </c>
      <c r="Q33" s="382"/>
      <c r="R33" s="264"/>
      <c r="S33" s="264"/>
      <c r="T33" s="264"/>
      <c r="U33" s="264"/>
      <c r="V33" s="264"/>
      <c r="W33" s="2">
        <v>22</v>
      </c>
      <c r="X33" s="425" t="s">
        <v>342</v>
      </c>
      <c r="Y33" s="413">
        <f t="shared" si="3"/>
        <v>16.600000000000001</v>
      </c>
      <c r="Z33" s="179">
        <v>20</v>
      </c>
      <c r="AA33" s="157">
        <v>18</v>
      </c>
      <c r="AB33" s="156">
        <v>30</v>
      </c>
      <c r="AC33" s="157">
        <v>30</v>
      </c>
      <c r="AD33" s="156">
        <v>18</v>
      </c>
      <c r="AE33" s="156">
        <v>18</v>
      </c>
      <c r="AF33" s="156">
        <v>18</v>
      </c>
      <c r="AG33" s="379"/>
      <c r="AH33" s="156">
        <v>9</v>
      </c>
      <c r="AI33" s="156">
        <v>5</v>
      </c>
      <c r="AJ33" s="380">
        <v>3</v>
      </c>
      <c r="AK33" s="386">
        <v>28</v>
      </c>
      <c r="AL33" s="385"/>
      <c r="AM33" s="280"/>
      <c r="AN33" s="280"/>
      <c r="AO33" s="272"/>
      <c r="AP33" s="272"/>
      <c r="AQ33" s="272"/>
    </row>
    <row r="34" spans="2:43" ht="15.6" x14ac:dyDescent="0.3">
      <c r="B34" s="1">
        <v>9</v>
      </c>
      <c r="C34" s="425" t="s">
        <v>332</v>
      </c>
      <c r="D34" s="413">
        <f t="shared" si="2"/>
        <v>18.100000000000001</v>
      </c>
      <c r="E34" s="384">
        <v>28</v>
      </c>
      <c r="F34" s="157">
        <v>10</v>
      </c>
      <c r="G34" s="152">
        <v>18</v>
      </c>
      <c r="H34" s="170">
        <v>25</v>
      </c>
      <c r="I34" s="152">
        <v>25</v>
      </c>
      <c r="J34" s="171">
        <v>15</v>
      </c>
      <c r="K34" s="156">
        <v>18</v>
      </c>
      <c r="L34" s="379">
        <v>7</v>
      </c>
      <c r="M34" s="152">
        <v>0</v>
      </c>
      <c r="N34" s="156">
        <v>35</v>
      </c>
      <c r="O34" s="380">
        <v>33</v>
      </c>
      <c r="P34" s="381">
        <v>22</v>
      </c>
      <c r="Q34" s="382">
        <v>33</v>
      </c>
      <c r="R34" s="264"/>
      <c r="S34" s="264"/>
      <c r="T34" s="264"/>
      <c r="U34" s="264"/>
      <c r="V34" s="264"/>
      <c r="W34" s="1">
        <v>23</v>
      </c>
      <c r="X34" s="425" t="s">
        <v>343</v>
      </c>
      <c r="Y34" s="413">
        <f t="shared" si="3"/>
        <v>15.1</v>
      </c>
      <c r="Z34" s="179">
        <v>0</v>
      </c>
      <c r="AA34" s="156">
        <v>35</v>
      </c>
      <c r="AB34" s="156">
        <v>24</v>
      </c>
      <c r="AC34" s="156">
        <v>0</v>
      </c>
      <c r="AD34" s="156">
        <v>18</v>
      </c>
      <c r="AE34" s="157">
        <v>18</v>
      </c>
      <c r="AF34" s="156">
        <v>15</v>
      </c>
      <c r="AG34" s="379">
        <v>10</v>
      </c>
      <c r="AH34" s="156">
        <v>9</v>
      </c>
      <c r="AI34" s="156">
        <v>22</v>
      </c>
      <c r="AJ34" s="380">
        <v>18</v>
      </c>
      <c r="AK34" s="386">
        <v>16</v>
      </c>
      <c r="AL34" s="385">
        <v>30</v>
      </c>
      <c r="AM34" s="280"/>
      <c r="AN34" s="280"/>
      <c r="AO34" s="272"/>
      <c r="AP34" s="272"/>
      <c r="AQ34" s="272"/>
    </row>
    <row r="35" spans="2:43" ht="23.4" x14ac:dyDescent="0.3">
      <c r="B35" s="1">
        <v>10</v>
      </c>
      <c r="C35" s="425" t="s">
        <v>333</v>
      </c>
      <c r="D35" s="413">
        <f t="shared" si="2"/>
        <v>5.0999999999999996</v>
      </c>
      <c r="E35" s="334">
        <v>0</v>
      </c>
      <c r="F35" s="335">
        <v>0</v>
      </c>
      <c r="G35" s="346">
        <v>0</v>
      </c>
      <c r="H35" s="346">
        <v>0</v>
      </c>
      <c r="I35" s="154">
        <v>18</v>
      </c>
      <c r="J35" s="157">
        <v>18</v>
      </c>
      <c r="K35" s="335">
        <v>0</v>
      </c>
      <c r="L35" s="379">
        <v>0</v>
      </c>
      <c r="M35" s="346">
        <v>0</v>
      </c>
      <c r="N35" s="335">
        <v>15</v>
      </c>
      <c r="O35" s="380">
        <v>19</v>
      </c>
      <c r="P35" s="381">
        <v>15</v>
      </c>
      <c r="Q35" s="382"/>
      <c r="R35" s="264"/>
      <c r="S35" s="264"/>
      <c r="T35" s="264"/>
      <c r="U35" s="264"/>
      <c r="V35" s="264"/>
      <c r="W35" s="2">
        <v>24</v>
      </c>
      <c r="X35" s="425" t="s">
        <v>344</v>
      </c>
      <c r="Y35" s="413">
        <f t="shared" si="3"/>
        <v>0</v>
      </c>
      <c r="Z35" s="172">
        <v>0</v>
      </c>
      <c r="AA35" s="154">
        <v>0</v>
      </c>
      <c r="AB35" s="157">
        <v>0</v>
      </c>
      <c r="AC35" s="157">
        <v>0</v>
      </c>
      <c r="AD35" s="157">
        <v>0</v>
      </c>
      <c r="AE35" s="157"/>
      <c r="AF35" s="157"/>
      <c r="AG35" s="379"/>
      <c r="AH35" s="157">
        <v>0</v>
      </c>
      <c r="AI35" s="157"/>
      <c r="AJ35" s="380"/>
      <c r="AK35" s="387">
        <v>0</v>
      </c>
      <c r="AL35" s="385"/>
      <c r="AM35" s="280"/>
      <c r="AN35" s="280"/>
      <c r="AO35" s="272"/>
      <c r="AP35" s="272"/>
      <c r="AQ35" s="272"/>
    </row>
    <row r="36" spans="2:43" ht="15.6" x14ac:dyDescent="0.3">
      <c r="B36" s="1">
        <v>11</v>
      </c>
      <c r="C36" s="425" t="s">
        <v>334</v>
      </c>
      <c r="D36" s="413">
        <f t="shared" si="2"/>
        <v>8.1</v>
      </c>
      <c r="E36" s="161">
        <v>0</v>
      </c>
      <c r="F36" s="157">
        <v>0</v>
      </c>
      <c r="G36" s="152">
        <v>35</v>
      </c>
      <c r="H36" s="154">
        <v>0</v>
      </c>
      <c r="I36" s="154">
        <v>0</v>
      </c>
      <c r="J36" s="156"/>
      <c r="K36" s="156">
        <v>35</v>
      </c>
      <c r="L36" s="379">
        <v>5</v>
      </c>
      <c r="M36" s="156">
        <v>6</v>
      </c>
      <c r="N36" s="156"/>
      <c r="O36" s="380">
        <v>20</v>
      </c>
      <c r="P36" s="381">
        <v>18</v>
      </c>
      <c r="Q36" s="382"/>
      <c r="R36" s="264"/>
      <c r="S36" s="264" t="s">
        <v>323</v>
      </c>
      <c r="T36" s="264"/>
      <c r="U36" s="264"/>
      <c r="V36" s="264"/>
      <c r="W36" s="2">
        <v>25</v>
      </c>
      <c r="X36" s="425" t="s">
        <v>345</v>
      </c>
      <c r="Y36" s="413">
        <f t="shared" si="3"/>
        <v>23.2</v>
      </c>
      <c r="Z36" s="168">
        <v>35</v>
      </c>
      <c r="AA36" s="157">
        <v>0</v>
      </c>
      <c r="AB36" s="156">
        <v>25</v>
      </c>
      <c r="AC36" s="156">
        <v>35</v>
      </c>
      <c r="AD36" s="156">
        <v>30</v>
      </c>
      <c r="AE36" s="156">
        <v>18</v>
      </c>
      <c r="AF36" s="157">
        <v>30</v>
      </c>
      <c r="AG36" s="379">
        <v>15</v>
      </c>
      <c r="AH36" s="156">
        <v>9</v>
      </c>
      <c r="AI36" s="156">
        <v>35</v>
      </c>
      <c r="AJ36" s="380">
        <v>23</v>
      </c>
      <c r="AK36" s="386">
        <v>28</v>
      </c>
      <c r="AL36" s="385"/>
      <c r="AM36" s="280"/>
      <c r="AN36" s="280"/>
      <c r="AO36" s="272"/>
      <c r="AP36" s="272"/>
      <c r="AQ36" s="272"/>
    </row>
    <row r="37" spans="2:43" ht="15.6" x14ac:dyDescent="0.3">
      <c r="B37" s="1">
        <v>12</v>
      </c>
      <c r="C37" s="425" t="s">
        <v>335</v>
      </c>
      <c r="D37" s="413">
        <f t="shared" si="2"/>
        <v>6.9</v>
      </c>
      <c r="E37" s="334">
        <v>0</v>
      </c>
      <c r="F37" s="157">
        <v>35</v>
      </c>
      <c r="G37" s="346">
        <v>0</v>
      </c>
      <c r="H37" s="346">
        <v>0</v>
      </c>
      <c r="I37" s="346">
        <v>0</v>
      </c>
      <c r="J37" s="335">
        <v>0</v>
      </c>
      <c r="K37" s="335">
        <v>0</v>
      </c>
      <c r="L37" s="379"/>
      <c r="M37" s="152">
        <v>9</v>
      </c>
      <c r="N37" s="156">
        <v>25</v>
      </c>
      <c r="O37" s="380">
        <v>27</v>
      </c>
      <c r="P37" s="381">
        <v>15</v>
      </c>
      <c r="Q37" s="382"/>
      <c r="R37" s="264"/>
      <c r="S37" s="264"/>
      <c r="T37" s="264"/>
      <c r="U37" s="264"/>
      <c r="V37" s="264"/>
      <c r="W37" s="1">
        <v>26</v>
      </c>
      <c r="X37" s="425" t="s">
        <v>346</v>
      </c>
      <c r="Y37" s="413">
        <f t="shared" si="3"/>
        <v>12.4</v>
      </c>
      <c r="Z37" s="173">
        <v>28</v>
      </c>
      <c r="AA37" s="156">
        <v>18</v>
      </c>
      <c r="AB37" s="156">
        <v>25</v>
      </c>
      <c r="AC37" s="157">
        <v>25</v>
      </c>
      <c r="AD37" s="159">
        <v>10</v>
      </c>
      <c r="AE37" s="156">
        <v>10</v>
      </c>
      <c r="AF37" s="340">
        <v>0</v>
      </c>
      <c r="AG37" s="379">
        <v>5</v>
      </c>
      <c r="AH37" s="156">
        <v>3</v>
      </c>
      <c r="AI37" s="156"/>
      <c r="AJ37" s="388">
        <v>18</v>
      </c>
      <c r="AK37" s="381">
        <v>18</v>
      </c>
      <c r="AL37" s="156">
        <v>33</v>
      </c>
      <c r="AM37" s="280"/>
      <c r="AN37" s="280"/>
      <c r="AO37" s="272"/>
      <c r="AP37" s="272"/>
      <c r="AQ37" s="272"/>
    </row>
    <row r="38" spans="2:43" ht="16.2" thickBot="1" x14ac:dyDescent="0.35">
      <c r="B38" s="1">
        <v>13</v>
      </c>
      <c r="C38" s="407" t="s">
        <v>26</v>
      </c>
      <c r="D38" s="413">
        <f t="shared" si="2"/>
        <v>19.100000000000001</v>
      </c>
      <c r="E38" s="160">
        <v>24</v>
      </c>
      <c r="F38" s="156">
        <v>35</v>
      </c>
      <c r="G38" s="156">
        <v>20</v>
      </c>
      <c r="H38" s="156">
        <v>18</v>
      </c>
      <c r="I38" s="159">
        <v>35</v>
      </c>
      <c r="J38" s="340">
        <v>0</v>
      </c>
      <c r="K38" s="156">
        <v>25</v>
      </c>
      <c r="L38" s="379">
        <v>25</v>
      </c>
      <c r="M38" s="156">
        <v>9</v>
      </c>
      <c r="N38" s="156">
        <v>0</v>
      </c>
      <c r="O38" s="338">
        <v>27</v>
      </c>
      <c r="P38" s="381">
        <v>30</v>
      </c>
      <c r="Q38" s="382">
        <v>35</v>
      </c>
      <c r="R38" s="264"/>
      <c r="S38" s="264"/>
      <c r="T38" s="264"/>
      <c r="U38" s="264"/>
      <c r="V38" s="264"/>
      <c r="W38" s="2">
        <v>27</v>
      </c>
      <c r="X38" s="425" t="s">
        <v>347</v>
      </c>
      <c r="Y38" s="413">
        <f t="shared" si="3"/>
        <v>8.3000000000000007</v>
      </c>
      <c r="Z38" s="169">
        <v>18</v>
      </c>
      <c r="AA38" s="157">
        <v>18</v>
      </c>
      <c r="AB38" s="157">
        <v>10</v>
      </c>
      <c r="AC38" s="171">
        <v>12</v>
      </c>
      <c r="AD38" s="157">
        <v>0</v>
      </c>
      <c r="AE38" s="156">
        <v>0</v>
      </c>
      <c r="AF38" s="156">
        <v>15</v>
      </c>
      <c r="AG38" s="379">
        <v>10</v>
      </c>
      <c r="AH38" s="171">
        <v>0</v>
      </c>
      <c r="AI38" s="171"/>
      <c r="AJ38" s="357">
        <v>23</v>
      </c>
      <c r="AK38" s="389">
        <v>18</v>
      </c>
      <c r="AL38" s="91"/>
      <c r="AM38" s="272"/>
      <c r="AN38" s="272"/>
      <c r="AO38" s="272"/>
      <c r="AP38" s="272"/>
      <c r="AQ38" s="272"/>
    </row>
    <row r="39" spans="2:43" ht="23.4" x14ac:dyDescent="0.3">
      <c r="B39" s="1">
        <v>14</v>
      </c>
      <c r="C39" s="407" t="s">
        <v>16</v>
      </c>
      <c r="D39" s="413">
        <f t="shared" si="2"/>
        <v>32.700000000000003</v>
      </c>
      <c r="E39" s="160">
        <v>35</v>
      </c>
      <c r="F39" s="156">
        <v>35</v>
      </c>
      <c r="G39" s="156">
        <v>30</v>
      </c>
      <c r="H39" s="156">
        <v>35</v>
      </c>
      <c r="I39" s="156">
        <v>35</v>
      </c>
      <c r="J39" s="156">
        <v>35</v>
      </c>
      <c r="K39" s="156">
        <v>30</v>
      </c>
      <c r="L39" s="379">
        <v>25</v>
      </c>
      <c r="M39" s="156">
        <v>32</v>
      </c>
      <c r="N39" s="156">
        <v>35</v>
      </c>
      <c r="O39" s="338">
        <v>33</v>
      </c>
      <c r="P39" s="381">
        <v>35</v>
      </c>
      <c r="Q39" s="382">
        <v>35</v>
      </c>
      <c r="R39" s="264"/>
      <c r="S39" s="264"/>
      <c r="T39" s="264"/>
      <c r="U39" s="264"/>
      <c r="V39" s="264"/>
      <c r="W39" s="2">
        <v>28</v>
      </c>
      <c r="X39" s="410" t="s">
        <v>64</v>
      </c>
      <c r="Y39" s="413">
        <f t="shared" si="3"/>
        <v>31.3</v>
      </c>
      <c r="Z39" s="358">
        <v>35</v>
      </c>
      <c r="AA39" s="359">
        <v>35</v>
      </c>
      <c r="AB39" s="359">
        <v>35</v>
      </c>
      <c r="AC39" s="360">
        <v>35</v>
      </c>
      <c r="AD39" s="359">
        <v>35</v>
      </c>
      <c r="AE39" s="359">
        <v>30</v>
      </c>
      <c r="AF39" s="359">
        <v>30</v>
      </c>
      <c r="AG39" s="390">
        <v>25</v>
      </c>
      <c r="AH39" s="360">
        <v>18</v>
      </c>
      <c r="AI39" s="360">
        <v>35</v>
      </c>
      <c r="AJ39" s="362">
        <v>30</v>
      </c>
      <c r="AK39" s="391">
        <v>35</v>
      </c>
      <c r="AL39" s="364">
        <v>35</v>
      </c>
      <c r="AM39" s="293"/>
      <c r="AN39" s="293"/>
      <c r="AO39" s="293"/>
      <c r="AP39" s="293"/>
      <c r="AQ39" s="293"/>
    </row>
    <row r="40" spans="2:43" ht="15.6" x14ac:dyDescent="0.3">
      <c r="C40" s="73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X40" s="407" t="s">
        <v>303</v>
      </c>
      <c r="Y40" s="17"/>
      <c r="Z40" s="412"/>
      <c r="AA40" s="365"/>
      <c r="AB40" s="365"/>
      <c r="AC40" s="365"/>
      <c r="AD40" s="365"/>
      <c r="AE40" s="365">
        <v>15</v>
      </c>
      <c r="AF40" s="365"/>
      <c r="AG40" s="392">
        <v>0</v>
      </c>
      <c r="AH40" s="365">
        <v>3</v>
      </c>
      <c r="AI40" s="365">
        <v>35</v>
      </c>
      <c r="AJ40" s="357">
        <v>18</v>
      </c>
      <c r="AK40" s="393">
        <v>18</v>
      </c>
      <c r="AL40" s="72">
        <v>33</v>
      </c>
      <c r="AM40" s="72"/>
      <c r="AN40" s="72"/>
      <c r="AO40" s="72"/>
      <c r="AP40" s="72"/>
      <c r="AQ40" s="72"/>
    </row>
    <row r="41" spans="2:43" ht="15.6" x14ac:dyDescent="0.3">
      <c r="C41" s="73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X41" s="302"/>
      <c r="Y41" s="394"/>
      <c r="Z41" s="395"/>
      <c r="AA41" s="395"/>
      <c r="AB41" s="395"/>
      <c r="AC41" s="395"/>
      <c r="AD41" s="395"/>
      <c r="AE41" s="395"/>
      <c r="AF41" s="395"/>
      <c r="AG41" s="396"/>
      <c r="AH41" s="397"/>
      <c r="AI41" s="397"/>
      <c r="AJ41" s="396"/>
      <c r="AK41" s="396"/>
      <c r="AL41" s="303"/>
      <c r="AM41" s="303"/>
      <c r="AN41" s="303"/>
      <c r="AO41" s="303"/>
      <c r="AP41" s="303"/>
      <c r="AQ41" s="303"/>
    </row>
    <row r="42" spans="2:43" ht="21" x14ac:dyDescent="0.3">
      <c r="B42" s="757" t="s">
        <v>146</v>
      </c>
      <c r="C42" s="757"/>
      <c r="D42" s="757"/>
      <c r="E42" s="757"/>
      <c r="F42" s="757"/>
      <c r="G42" s="757"/>
      <c r="H42" s="757"/>
      <c r="I42" s="757"/>
      <c r="J42" s="757"/>
      <c r="K42" s="757"/>
      <c r="L42" s="757"/>
      <c r="M42" s="757"/>
      <c r="N42" s="757"/>
      <c r="O42" s="757"/>
      <c r="P42" s="757"/>
      <c r="Q42" s="757"/>
      <c r="R42" s="757"/>
      <c r="S42" s="757"/>
      <c r="T42" s="757"/>
      <c r="U42" s="757"/>
      <c r="V42" s="757"/>
      <c r="W42" s="757"/>
      <c r="X42" s="757"/>
      <c r="Y42" s="757"/>
      <c r="Z42" s="757"/>
      <c r="AA42" s="757"/>
      <c r="AB42" s="757"/>
      <c r="AC42" s="757"/>
      <c r="AD42" s="757"/>
      <c r="AE42" s="757"/>
      <c r="AF42" s="757"/>
      <c r="AG42" s="757"/>
      <c r="AH42" s="757"/>
      <c r="AI42" s="757"/>
      <c r="AJ42" s="757"/>
      <c r="AK42" s="757"/>
      <c r="AL42" s="757"/>
      <c r="AM42" s="757"/>
      <c r="AN42" s="757"/>
      <c r="AO42" s="757"/>
      <c r="AP42" s="757"/>
      <c r="AQ42" s="757"/>
    </row>
    <row r="43" spans="2:43" ht="18" x14ac:dyDescent="0.3">
      <c r="B43" s="758" t="s">
        <v>34</v>
      </c>
      <c r="C43" s="759"/>
      <c r="D43" s="760" t="s">
        <v>1</v>
      </c>
      <c r="E43" s="772" t="s">
        <v>54</v>
      </c>
      <c r="F43" s="772"/>
      <c r="G43" s="772"/>
      <c r="H43" s="772"/>
      <c r="I43" s="772"/>
      <c r="J43" s="772"/>
      <c r="K43" s="772"/>
      <c r="L43" s="772"/>
      <c r="M43" s="772"/>
      <c r="N43" s="772"/>
      <c r="O43" s="772"/>
      <c r="P43" s="772"/>
      <c r="Q43" s="772"/>
      <c r="R43" s="772"/>
      <c r="S43" s="772"/>
      <c r="T43" s="772"/>
      <c r="U43" s="772"/>
      <c r="V43" s="772"/>
      <c r="W43" s="762" t="s">
        <v>34</v>
      </c>
      <c r="X43" s="759"/>
      <c r="Y43" s="760" t="s">
        <v>1</v>
      </c>
      <c r="Z43" s="772" t="s">
        <v>54</v>
      </c>
      <c r="AA43" s="772"/>
      <c r="AB43" s="772"/>
      <c r="AC43" s="772"/>
      <c r="AD43" s="772"/>
      <c r="AE43" s="772"/>
      <c r="AF43" s="772"/>
      <c r="AG43" s="772"/>
      <c r="AH43" s="772"/>
      <c r="AI43" s="772"/>
      <c r="AJ43" s="772"/>
      <c r="AK43" s="772"/>
      <c r="AL43" s="772"/>
      <c r="AM43" s="772"/>
      <c r="AN43" s="772"/>
      <c r="AO43" s="772"/>
      <c r="AP43" s="772"/>
      <c r="AQ43" s="772"/>
    </row>
    <row r="44" spans="2:43" x14ac:dyDescent="0.3">
      <c r="B44" s="758"/>
      <c r="C44" s="759"/>
      <c r="D44" s="760"/>
      <c r="E44" s="70">
        <v>1</v>
      </c>
      <c r="F44" s="95">
        <v>2</v>
      </c>
      <c r="G44" s="95">
        <v>3</v>
      </c>
      <c r="H44" s="95">
        <v>4</v>
      </c>
      <c r="I44" s="95">
        <v>5</v>
      </c>
      <c r="J44" s="95">
        <v>6</v>
      </c>
      <c r="K44" s="95">
        <v>7</v>
      </c>
      <c r="L44" s="95">
        <v>8</v>
      </c>
      <c r="M44" s="95">
        <v>9</v>
      </c>
      <c r="N44" s="95">
        <v>10</v>
      </c>
      <c r="O44" s="95">
        <v>11</v>
      </c>
      <c r="P44" s="95">
        <v>12</v>
      </c>
      <c r="Q44" s="95">
        <v>13</v>
      </c>
      <c r="R44" s="95">
        <v>14</v>
      </c>
      <c r="S44" s="95">
        <v>15</v>
      </c>
      <c r="T44" s="95">
        <v>16</v>
      </c>
      <c r="U44" s="95">
        <v>17</v>
      </c>
      <c r="V44" s="95">
        <v>18</v>
      </c>
      <c r="W44" s="762"/>
      <c r="X44" s="759"/>
      <c r="Y44" s="760"/>
      <c r="Z44" s="70">
        <v>1</v>
      </c>
      <c r="AA44" s="95">
        <v>2</v>
      </c>
      <c r="AB44" s="95">
        <v>3</v>
      </c>
      <c r="AC44" s="95">
        <v>4</v>
      </c>
      <c r="AD44" s="95">
        <v>5</v>
      </c>
      <c r="AE44" s="95">
        <v>6</v>
      </c>
      <c r="AF44" s="95">
        <v>7</v>
      </c>
      <c r="AG44" s="95">
        <v>8</v>
      </c>
      <c r="AH44" s="95">
        <v>9</v>
      </c>
      <c r="AI44" s="95">
        <v>10</v>
      </c>
      <c r="AJ44" s="95">
        <v>11</v>
      </c>
      <c r="AK44" s="72">
        <v>12</v>
      </c>
      <c r="AL44" s="72">
        <v>13</v>
      </c>
      <c r="AM44" s="72">
        <v>14</v>
      </c>
      <c r="AN44" s="72">
        <v>15</v>
      </c>
      <c r="AO44" s="72">
        <v>16</v>
      </c>
      <c r="AP44" s="72">
        <v>17</v>
      </c>
      <c r="AQ44" s="72">
        <v>18</v>
      </c>
    </row>
    <row r="45" spans="2:43" x14ac:dyDescent="0.3">
      <c r="B45" s="758"/>
      <c r="C45" s="759"/>
      <c r="D45" s="760"/>
      <c r="E45" s="763" t="s">
        <v>3</v>
      </c>
      <c r="F45" s="764"/>
      <c r="G45" s="764"/>
      <c r="H45" s="764"/>
      <c r="I45" s="764"/>
      <c r="J45" s="764"/>
      <c r="K45" s="764"/>
      <c r="L45" s="764"/>
      <c r="M45" s="764"/>
      <c r="N45" s="764"/>
      <c r="O45" s="764"/>
      <c r="P45" s="764"/>
      <c r="Q45" s="764"/>
      <c r="R45" s="764"/>
      <c r="S45" s="765"/>
      <c r="T45" s="74"/>
      <c r="U45" s="76"/>
      <c r="V45" s="76"/>
      <c r="W45" s="762"/>
      <c r="X45" s="759"/>
      <c r="Y45" s="760"/>
      <c r="Z45" s="766" t="s">
        <v>3</v>
      </c>
      <c r="AA45" s="766"/>
      <c r="AB45" s="766"/>
      <c r="AC45" s="766"/>
      <c r="AD45" s="766"/>
      <c r="AE45" s="766"/>
      <c r="AF45" s="766"/>
      <c r="AG45" s="766"/>
      <c r="AH45" s="766"/>
      <c r="AI45" s="766"/>
      <c r="AJ45" s="766"/>
      <c r="AK45" s="766"/>
      <c r="AL45" s="766"/>
      <c r="AM45" s="766"/>
      <c r="AN45" s="766"/>
      <c r="AO45" s="77"/>
      <c r="AP45" s="77"/>
      <c r="AQ45" s="77"/>
    </row>
    <row r="46" spans="2:43" ht="151.80000000000001" customHeight="1" x14ac:dyDescent="0.3">
      <c r="B46" s="758"/>
      <c r="C46" s="759"/>
      <c r="D46" s="760"/>
      <c r="E46" s="305" t="s">
        <v>314</v>
      </c>
      <c r="F46" s="307" t="s">
        <v>315</v>
      </c>
      <c r="G46" s="311" t="s">
        <v>321</v>
      </c>
      <c r="H46" s="322"/>
      <c r="I46" s="85"/>
      <c r="J46" s="85"/>
      <c r="K46" s="85"/>
      <c r="L46" s="87"/>
      <c r="M46" s="87"/>
      <c r="N46" s="85"/>
      <c r="O46" s="85"/>
      <c r="P46" s="71"/>
      <c r="Q46" s="71"/>
      <c r="R46" s="71"/>
      <c r="S46" s="71"/>
      <c r="T46" s="71"/>
      <c r="U46" s="71"/>
      <c r="V46" s="71"/>
      <c r="W46" s="762"/>
      <c r="X46" s="759"/>
      <c r="Y46" s="760"/>
      <c r="Z46" s="305" t="s">
        <v>314</v>
      </c>
      <c r="AA46" s="307" t="s">
        <v>315</v>
      </c>
      <c r="AB46" s="311" t="s">
        <v>321</v>
      </c>
      <c r="AC46" s="322"/>
      <c r="AD46" s="92"/>
      <c r="AE46" s="92"/>
      <c r="AF46" s="89"/>
      <c r="AG46" s="86"/>
      <c r="AH46" s="86"/>
      <c r="AI46" s="92"/>
      <c r="AJ46" s="90"/>
      <c r="AK46" s="91"/>
      <c r="AL46" s="91"/>
      <c r="AM46" s="91"/>
      <c r="AN46" s="91"/>
      <c r="AO46" s="91"/>
      <c r="AP46" s="91"/>
      <c r="AQ46" s="91"/>
    </row>
    <row r="47" spans="2:43" ht="15.6" x14ac:dyDescent="0.3">
      <c r="B47" s="1">
        <v>1</v>
      </c>
      <c r="C47" s="407" t="s">
        <v>10</v>
      </c>
      <c r="D47" s="413">
        <f>((E47+F47+G47)/3)</f>
        <v>12.333333333333334</v>
      </c>
      <c r="E47" s="155">
        <v>12</v>
      </c>
      <c r="F47" s="154">
        <v>0</v>
      </c>
      <c r="G47" s="398">
        <v>25</v>
      </c>
      <c r="H47" s="257"/>
      <c r="I47" s="257"/>
      <c r="J47" s="257"/>
      <c r="K47" s="269"/>
      <c r="L47" s="257"/>
      <c r="M47" s="257"/>
      <c r="N47" s="257"/>
      <c r="O47" s="275"/>
      <c r="P47" s="259"/>
      <c r="Q47" s="259"/>
      <c r="R47" s="259"/>
      <c r="S47" s="259"/>
      <c r="T47" s="259"/>
      <c r="U47" s="259"/>
      <c r="V47" s="259"/>
      <c r="W47" s="2">
        <v>15</v>
      </c>
      <c r="X47" s="422" t="s">
        <v>132</v>
      </c>
      <c r="Y47" s="413">
        <f>((Z47+AA47+AB47)/3)</f>
        <v>27.666666666666668</v>
      </c>
      <c r="Z47" s="172">
        <v>30</v>
      </c>
      <c r="AA47" s="154">
        <v>33</v>
      </c>
      <c r="AB47" s="398">
        <v>20</v>
      </c>
      <c r="AC47" s="257"/>
      <c r="AD47" s="258"/>
      <c r="AE47" s="257"/>
      <c r="AF47" s="269"/>
      <c r="AG47" s="257"/>
      <c r="AH47" s="257"/>
      <c r="AI47" s="257"/>
      <c r="AJ47" s="278"/>
      <c r="AK47" s="257"/>
      <c r="AL47" s="257"/>
      <c r="AM47" s="279"/>
      <c r="AN47" s="279"/>
      <c r="AO47" s="270"/>
      <c r="AP47" s="270"/>
      <c r="AQ47" s="270"/>
    </row>
    <row r="48" spans="2:43" ht="15.6" x14ac:dyDescent="0.3">
      <c r="B48" s="1">
        <v>2</v>
      </c>
      <c r="C48" s="406" t="s">
        <v>22</v>
      </c>
      <c r="D48" s="413">
        <f t="shared" ref="D48:D60" si="4">((E48+F48+G48)/3)</f>
        <v>19.333333333333332</v>
      </c>
      <c r="E48" s="155">
        <v>28</v>
      </c>
      <c r="F48" s="152">
        <v>0</v>
      </c>
      <c r="G48" s="399">
        <v>30</v>
      </c>
      <c r="H48" s="257"/>
      <c r="I48" s="261"/>
      <c r="J48" s="261"/>
      <c r="K48" s="261"/>
      <c r="L48" s="261"/>
      <c r="M48" s="261"/>
      <c r="N48" s="261"/>
      <c r="O48" s="276"/>
      <c r="P48" s="264"/>
      <c r="Q48" s="264"/>
      <c r="R48" s="264"/>
      <c r="S48" s="264"/>
      <c r="T48" s="264"/>
      <c r="U48" s="264"/>
      <c r="V48" s="264"/>
      <c r="W48" s="2">
        <v>16</v>
      </c>
      <c r="X48" s="422" t="s">
        <v>133</v>
      </c>
      <c r="Y48" s="413">
        <f t="shared" ref="Y48:Y61" si="5">((Z48+AA48+AB48)/3)</f>
        <v>17.666666666666668</v>
      </c>
      <c r="Z48" s="164">
        <v>33</v>
      </c>
      <c r="AA48" s="156">
        <v>0</v>
      </c>
      <c r="AB48" s="399">
        <v>20</v>
      </c>
      <c r="AC48" s="261"/>
      <c r="AD48" s="261"/>
      <c r="AE48" s="261"/>
      <c r="AF48" s="261"/>
      <c r="AG48" s="261"/>
      <c r="AH48" s="261"/>
      <c r="AI48" s="261"/>
      <c r="AJ48" s="263"/>
      <c r="AK48" s="261"/>
      <c r="AL48" s="280"/>
      <c r="AM48" s="280"/>
      <c r="AN48" s="280"/>
      <c r="AO48" s="272"/>
      <c r="AP48" s="272"/>
      <c r="AQ48" s="272"/>
    </row>
    <row r="49" spans="2:43" ht="20.399999999999999" x14ac:dyDescent="0.3">
      <c r="B49" s="1">
        <v>3</v>
      </c>
      <c r="C49" s="407" t="s">
        <v>12</v>
      </c>
      <c r="D49" s="413">
        <f t="shared" si="4"/>
        <v>30</v>
      </c>
      <c r="E49" s="155">
        <v>35</v>
      </c>
      <c r="F49" s="152">
        <v>30</v>
      </c>
      <c r="G49" s="399">
        <v>25</v>
      </c>
      <c r="H49" s="257"/>
      <c r="I49" s="261"/>
      <c r="J49" s="261"/>
      <c r="K49" s="261"/>
      <c r="L49" s="261"/>
      <c r="M49" s="257"/>
      <c r="N49" s="261"/>
      <c r="O49" s="276"/>
      <c r="P49" s="264"/>
      <c r="Q49" s="264"/>
      <c r="R49" s="264"/>
      <c r="S49" s="264"/>
      <c r="T49" s="264"/>
      <c r="U49" s="264"/>
      <c r="V49" s="264"/>
      <c r="W49" s="1">
        <v>17</v>
      </c>
      <c r="X49" s="422" t="s">
        <v>134</v>
      </c>
      <c r="Y49" s="413">
        <f t="shared" si="5"/>
        <v>33.333333333333336</v>
      </c>
      <c r="Z49" s="164">
        <v>35</v>
      </c>
      <c r="AA49" s="156">
        <v>35</v>
      </c>
      <c r="AB49" s="399">
        <v>30</v>
      </c>
      <c r="AC49" s="261"/>
      <c r="AD49" s="261"/>
      <c r="AE49" s="261"/>
      <c r="AF49" s="261"/>
      <c r="AG49" s="261"/>
      <c r="AH49" s="261"/>
      <c r="AI49" s="261"/>
      <c r="AJ49" s="263"/>
      <c r="AK49" s="280"/>
      <c r="AL49" s="280"/>
      <c r="AM49" s="280"/>
      <c r="AN49" s="280"/>
      <c r="AO49" s="272"/>
      <c r="AP49" s="272"/>
      <c r="AQ49" s="272"/>
    </row>
    <row r="50" spans="2:43" ht="15.6" x14ac:dyDescent="0.3">
      <c r="B50" s="1">
        <v>4</v>
      </c>
      <c r="C50" s="406" t="s">
        <v>23</v>
      </c>
      <c r="D50" s="413">
        <f t="shared" si="4"/>
        <v>30.333333333333332</v>
      </c>
      <c r="E50" s="155">
        <v>30</v>
      </c>
      <c r="F50" s="152">
        <v>31</v>
      </c>
      <c r="G50" s="399">
        <v>30</v>
      </c>
      <c r="H50" s="257"/>
      <c r="I50" s="261"/>
      <c r="J50" s="261"/>
      <c r="K50" s="261"/>
      <c r="L50" s="261"/>
      <c r="M50" s="261"/>
      <c r="N50" s="265"/>
      <c r="O50" s="277"/>
      <c r="P50" s="265"/>
      <c r="Q50" s="265"/>
      <c r="R50" s="265"/>
      <c r="S50" s="265"/>
      <c r="T50" s="265"/>
      <c r="U50" s="265"/>
      <c r="V50" s="265"/>
      <c r="W50" s="2">
        <v>18</v>
      </c>
      <c r="X50" s="422" t="s">
        <v>135</v>
      </c>
      <c r="Y50" s="413">
        <f t="shared" si="5"/>
        <v>33.333333333333336</v>
      </c>
      <c r="Z50" s="164">
        <v>35</v>
      </c>
      <c r="AA50" s="157">
        <v>35</v>
      </c>
      <c r="AB50" s="399">
        <v>30</v>
      </c>
      <c r="AC50" s="261"/>
      <c r="AD50" s="261"/>
      <c r="AE50" s="261"/>
      <c r="AF50" s="261"/>
      <c r="AG50" s="261"/>
      <c r="AH50" s="261"/>
      <c r="AI50" s="261"/>
      <c r="AJ50" s="263"/>
      <c r="AK50" s="261"/>
      <c r="AL50" s="261"/>
      <c r="AM50" s="280"/>
      <c r="AN50" s="280"/>
      <c r="AO50" s="272"/>
      <c r="AP50" s="272"/>
      <c r="AQ50" s="272"/>
    </row>
    <row r="51" spans="2:43" ht="15.6" x14ac:dyDescent="0.3">
      <c r="B51" s="1">
        <v>5</v>
      </c>
      <c r="C51" s="407" t="s">
        <v>13</v>
      </c>
      <c r="D51" s="413">
        <f t="shared" si="4"/>
        <v>28.333333333333332</v>
      </c>
      <c r="E51" s="155">
        <v>28</v>
      </c>
      <c r="F51" s="152">
        <v>32</v>
      </c>
      <c r="G51" s="399">
        <v>25</v>
      </c>
      <c r="H51" s="257"/>
      <c r="I51" s="261"/>
      <c r="J51" s="261"/>
      <c r="K51" s="261"/>
      <c r="L51" s="261"/>
      <c r="M51" s="257"/>
      <c r="N51" s="261"/>
      <c r="O51" s="276"/>
      <c r="P51" s="264"/>
      <c r="Q51" s="264"/>
      <c r="R51" s="264"/>
      <c r="S51" s="264"/>
      <c r="T51" s="264"/>
      <c r="U51" s="264"/>
      <c r="V51" s="264"/>
      <c r="W51" s="175">
        <v>19</v>
      </c>
      <c r="X51" s="423" t="s">
        <v>136</v>
      </c>
      <c r="Y51" s="413">
        <f t="shared" si="5"/>
        <v>14.333333333333334</v>
      </c>
      <c r="Z51" s="164">
        <v>18</v>
      </c>
      <c r="AA51" s="157">
        <v>0</v>
      </c>
      <c r="AB51" s="399">
        <v>25</v>
      </c>
      <c r="AC51" s="261"/>
      <c r="AD51" s="261"/>
      <c r="AE51" s="261"/>
      <c r="AF51" s="261"/>
      <c r="AG51" s="261"/>
      <c r="AH51" s="261"/>
      <c r="AI51" s="261"/>
      <c r="AJ51" s="263"/>
      <c r="AK51" s="280"/>
      <c r="AL51" s="280"/>
      <c r="AM51" s="280"/>
      <c r="AN51" s="280"/>
      <c r="AO51" s="272"/>
      <c r="AP51" s="272"/>
      <c r="AQ51" s="272"/>
    </row>
    <row r="52" spans="2:43" ht="15.6" x14ac:dyDescent="0.3">
      <c r="B52" s="1">
        <v>6</v>
      </c>
      <c r="C52" s="407" t="s">
        <v>52</v>
      </c>
      <c r="D52" s="413">
        <f t="shared" si="4"/>
        <v>19.333333333333332</v>
      </c>
      <c r="E52" s="161">
        <v>28</v>
      </c>
      <c r="F52" s="154">
        <v>0</v>
      </c>
      <c r="G52" s="399">
        <v>30</v>
      </c>
      <c r="H52" s="257"/>
      <c r="I52" s="261"/>
      <c r="J52" s="261"/>
      <c r="K52" s="261"/>
      <c r="L52" s="261"/>
      <c r="M52" s="261"/>
      <c r="N52" s="261"/>
      <c r="O52" s="276"/>
      <c r="P52" s="264"/>
      <c r="Q52" s="264"/>
      <c r="R52" s="264"/>
      <c r="S52" s="264"/>
      <c r="T52" s="264"/>
      <c r="U52" s="264"/>
      <c r="V52" s="264"/>
      <c r="W52" s="1">
        <v>20</v>
      </c>
      <c r="X52" s="422" t="s">
        <v>137</v>
      </c>
      <c r="Y52" s="413">
        <f t="shared" si="5"/>
        <v>29.333333333333332</v>
      </c>
      <c r="Z52" s="164">
        <v>30</v>
      </c>
      <c r="AA52" s="156">
        <v>33</v>
      </c>
      <c r="AB52" s="399">
        <v>25</v>
      </c>
      <c r="AC52" s="261"/>
      <c r="AD52" s="261"/>
      <c r="AE52" s="261"/>
      <c r="AF52" s="261"/>
      <c r="AG52" s="261"/>
      <c r="AH52" s="261"/>
      <c r="AI52" s="261"/>
      <c r="AJ52" s="263"/>
      <c r="AK52" s="280"/>
      <c r="AL52" s="280"/>
      <c r="AM52" s="280"/>
      <c r="AN52" s="280"/>
      <c r="AO52" s="272"/>
      <c r="AP52" s="272"/>
      <c r="AQ52" s="272"/>
    </row>
    <row r="53" spans="2:43" ht="15.6" x14ac:dyDescent="0.3">
      <c r="B53" s="1">
        <v>7</v>
      </c>
      <c r="C53" s="407" t="s">
        <v>24</v>
      </c>
      <c r="D53" s="413">
        <f t="shared" si="4"/>
        <v>17.666666666666668</v>
      </c>
      <c r="E53" s="161">
        <v>28</v>
      </c>
      <c r="F53" s="154">
        <v>0</v>
      </c>
      <c r="G53" s="399">
        <v>25</v>
      </c>
      <c r="H53" s="257"/>
      <c r="I53" s="261"/>
      <c r="J53" s="261"/>
      <c r="K53" s="261"/>
      <c r="L53" s="261"/>
      <c r="M53" s="257"/>
      <c r="N53" s="261"/>
      <c r="O53" s="276"/>
      <c r="P53" s="264"/>
      <c r="Q53" s="264"/>
      <c r="R53" s="264"/>
      <c r="S53" s="264"/>
      <c r="T53" s="264"/>
      <c r="U53" s="264"/>
      <c r="V53" s="264"/>
      <c r="W53" s="2">
        <v>21</v>
      </c>
      <c r="X53" s="424" t="s">
        <v>138</v>
      </c>
      <c r="Y53" s="413">
        <f t="shared" si="5"/>
        <v>6.666666666666667</v>
      </c>
      <c r="Z53" s="164">
        <v>0</v>
      </c>
      <c r="AA53" s="156">
        <v>0</v>
      </c>
      <c r="AB53" s="399">
        <v>20</v>
      </c>
      <c r="AC53" s="261"/>
      <c r="AD53" s="261"/>
      <c r="AE53" s="261"/>
      <c r="AF53" s="261"/>
      <c r="AG53" s="261"/>
      <c r="AH53" s="261"/>
      <c r="AI53" s="261"/>
      <c r="AJ53" s="263"/>
      <c r="AK53" s="280"/>
      <c r="AL53" s="280"/>
      <c r="AM53" s="280"/>
      <c r="AN53" s="280"/>
      <c r="AO53" s="272"/>
      <c r="AP53" s="272"/>
      <c r="AQ53" s="272"/>
    </row>
    <row r="54" spans="2:43" ht="15.6" x14ac:dyDescent="0.3">
      <c r="B54" s="1">
        <v>8</v>
      </c>
      <c r="C54" s="407" t="s">
        <v>14</v>
      </c>
      <c r="D54" s="413">
        <f t="shared" si="4"/>
        <v>32.666666666666664</v>
      </c>
      <c r="E54" s="160">
        <v>35</v>
      </c>
      <c r="F54" s="152">
        <v>33</v>
      </c>
      <c r="G54" s="399">
        <v>30</v>
      </c>
      <c r="H54" s="257"/>
      <c r="I54" s="261"/>
      <c r="J54" s="261"/>
      <c r="K54" s="261"/>
      <c r="L54" s="261"/>
      <c r="M54" s="261"/>
      <c r="N54" s="261"/>
      <c r="O54" s="276"/>
      <c r="P54" s="264"/>
      <c r="Q54" s="264"/>
      <c r="R54" s="264"/>
      <c r="S54" s="264"/>
      <c r="T54" s="264"/>
      <c r="U54" s="264"/>
      <c r="V54" s="264"/>
      <c r="W54" s="2">
        <v>22</v>
      </c>
      <c r="X54" s="422" t="s">
        <v>139</v>
      </c>
      <c r="Y54" s="413">
        <f t="shared" si="5"/>
        <v>11</v>
      </c>
      <c r="Z54" s="179">
        <v>18</v>
      </c>
      <c r="AA54" s="156">
        <v>0</v>
      </c>
      <c r="AB54" s="399">
        <v>15</v>
      </c>
      <c r="AC54" s="261"/>
      <c r="AD54" s="261"/>
      <c r="AE54" s="261"/>
      <c r="AF54" s="261"/>
      <c r="AG54" s="261"/>
      <c r="AH54" s="261"/>
      <c r="AI54" s="261"/>
      <c r="AJ54" s="263"/>
      <c r="AK54" s="280"/>
      <c r="AL54" s="280"/>
      <c r="AM54" s="280"/>
      <c r="AN54" s="280"/>
      <c r="AO54" s="272"/>
      <c r="AP54" s="272"/>
      <c r="AQ54" s="272"/>
    </row>
    <row r="55" spans="2:43" ht="15.6" x14ac:dyDescent="0.3">
      <c r="B55" s="1">
        <v>9</v>
      </c>
      <c r="C55" s="407" t="s">
        <v>51</v>
      </c>
      <c r="D55" s="413">
        <f t="shared" si="4"/>
        <v>26.666666666666668</v>
      </c>
      <c r="E55" s="160">
        <v>30</v>
      </c>
      <c r="F55" s="152">
        <v>30</v>
      </c>
      <c r="G55" s="399">
        <v>20</v>
      </c>
      <c r="H55" s="257"/>
      <c r="I55" s="262"/>
      <c r="J55" s="261"/>
      <c r="K55" s="261"/>
      <c r="L55" s="261"/>
      <c r="M55" s="257"/>
      <c r="N55" s="261"/>
      <c r="O55" s="276"/>
      <c r="P55" s="264"/>
      <c r="Q55" s="264"/>
      <c r="R55" s="264"/>
      <c r="S55" s="264"/>
      <c r="T55" s="264"/>
      <c r="U55" s="264"/>
      <c r="V55" s="264"/>
      <c r="W55" s="1">
        <v>23</v>
      </c>
      <c r="X55" s="422" t="s">
        <v>140</v>
      </c>
      <c r="Y55" s="413">
        <f t="shared" si="5"/>
        <v>17.666666666666668</v>
      </c>
      <c r="Z55" s="164">
        <v>28</v>
      </c>
      <c r="AA55" s="156">
        <v>0</v>
      </c>
      <c r="AB55" s="399">
        <v>25</v>
      </c>
      <c r="AC55" s="261"/>
      <c r="AD55" s="261"/>
      <c r="AE55" s="261"/>
      <c r="AF55" s="261"/>
      <c r="AG55" s="261"/>
      <c r="AH55" s="261"/>
      <c r="AI55" s="261"/>
      <c r="AJ55" s="263"/>
      <c r="AK55" s="280"/>
      <c r="AL55" s="280"/>
      <c r="AM55" s="280"/>
      <c r="AN55" s="280"/>
      <c r="AO55" s="272"/>
      <c r="AP55" s="272"/>
      <c r="AQ55" s="272"/>
    </row>
    <row r="56" spans="2:43" ht="23.4" x14ac:dyDescent="0.3">
      <c r="B56" s="1">
        <v>10</v>
      </c>
      <c r="C56" s="407" t="s">
        <v>62</v>
      </c>
      <c r="D56" s="413">
        <f t="shared" si="4"/>
        <v>12.333333333333334</v>
      </c>
      <c r="E56" s="161">
        <v>12</v>
      </c>
      <c r="F56" s="154">
        <v>0</v>
      </c>
      <c r="G56" s="399">
        <v>25</v>
      </c>
      <c r="H56" s="257"/>
      <c r="I56" s="262"/>
      <c r="J56" s="261"/>
      <c r="K56" s="261"/>
      <c r="L56" s="261"/>
      <c r="M56" s="257"/>
      <c r="N56" s="261"/>
      <c r="O56" s="276"/>
      <c r="P56" s="264"/>
      <c r="Q56" s="264"/>
      <c r="R56" s="264"/>
      <c r="S56" s="264"/>
      <c r="T56" s="264"/>
      <c r="U56" s="264"/>
      <c r="V56" s="264"/>
      <c r="W56" s="2">
        <v>24</v>
      </c>
      <c r="X56" s="422" t="s">
        <v>141</v>
      </c>
      <c r="Y56" s="413">
        <f t="shared" si="5"/>
        <v>6.666666666666667</v>
      </c>
      <c r="Z56" s="172">
        <v>0</v>
      </c>
      <c r="AA56" s="157">
        <v>0</v>
      </c>
      <c r="AB56" s="399">
        <v>20</v>
      </c>
      <c r="AC56" s="261"/>
      <c r="AD56" s="262"/>
      <c r="AE56" s="261"/>
      <c r="AF56" s="261"/>
      <c r="AG56" s="261"/>
      <c r="AH56" s="261"/>
      <c r="AI56" s="261"/>
      <c r="AJ56" s="263"/>
      <c r="AK56" s="280"/>
      <c r="AL56" s="280"/>
      <c r="AM56" s="280"/>
      <c r="AN56" s="280"/>
      <c r="AO56" s="272"/>
      <c r="AP56" s="272"/>
      <c r="AQ56" s="272"/>
    </row>
    <row r="57" spans="2:43" ht="15.6" x14ac:dyDescent="0.3">
      <c r="B57" s="1">
        <v>11</v>
      </c>
      <c r="C57" s="407" t="s">
        <v>25</v>
      </c>
      <c r="D57" s="413">
        <f t="shared" si="4"/>
        <v>29.333333333333332</v>
      </c>
      <c r="E57" s="155">
        <v>28</v>
      </c>
      <c r="F57" s="152">
        <v>30</v>
      </c>
      <c r="G57" s="399">
        <v>30</v>
      </c>
      <c r="H57" s="257"/>
      <c r="I57" s="261"/>
      <c r="J57" s="261"/>
      <c r="K57" s="261"/>
      <c r="L57" s="261"/>
      <c r="M57" s="261"/>
      <c r="N57" s="261"/>
      <c r="O57" s="276"/>
      <c r="P57" s="264"/>
      <c r="Q57" s="264"/>
      <c r="R57" s="264"/>
      <c r="S57" s="264"/>
      <c r="T57" s="264"/>
      <c r="U57" s="264"/>
      <c r="V57" s="264"/>
      <c r="W57" s="2">
        <v>25</v>
      </c>
      <c r="X57" s="422" t="s">
        <v>142</v>
      </c>
      <c r="Y57" s="413">
        <f t="shared" si="5"/>
        <v>19.333333333333332</v>
      </c>
      <c r="Z57" s="168">
        <v>28</v>
      </c>
      <c r="AA57" s="157">
        <v>0</v>
      </c>
      <c r="AB57" s="399">
        <v>30</v>
      </c>
      <c r="AC57" s="261"/>
      <c r="AD57" s="261"/>
      <c r="AE57" s="261"/>
      <c r="AF57" s="261"/>
      <c r="AG57" s="261"/>
      <c r="AH57" s="261"/>
      <c r="AI57" s="261"/>
      <c r="AJ57" s="263"/>
      <c r="AK57" s="280"/>
      <c r="AL57" s="280"/>
      <c r="AM57" s="280"/>
      <c r="AN57" s="280"/>
      <c r="AO57" s="272"/>
      <c r="AP57" s="272"/>
      <c r="AQ57" s="272"/>
    </row>
    <row r="58" spans="2:43" ht="15.6" x14ac:dyDescent="0.3">
      <c r="B58" s="1">
        <v>12</v>
      </c>
      <c r="C58" s="407" t="s">
        <v>15</v>
      </c>
      <c r="D58" s="413">
        <f t="shared" si="4"/>
        <v>18.333333333333332</v>
      </c>
      <c r="E58" s="155">
        <v>30</v>
      </c>
      <c r="F58" s="152">
        <v>0</v>
      </c>
      <c r="G58" s="399">
        <v>25</v>
      </c>
      <c r="H58" s="257"/>
      <c r="I58" s="261"/>
      <c r="J58" s="261"/>
      <c r="K58" s="261"/>
      <c r="L58" s="261"/>
      <c r="M58" s="257"/>
      <c r="N58" s="261"/>
      <c r="O58" s="276"/>
      <c r="P58" s="264"/>
      <c r="Q58" s="264"/>
      <c r="R58" s="264"/>
      <c r="S58" s="264"/>
      <c r="T58" s="264"/>
      <c r="U58" s="264"/>
      <c r="V58" s="264"/>
      <c r="W58" s="1">
        <v>26</v>
      </c>
      <c r="X58" s="422" t="s">
        <v>143</v>
      </c>
      <c r="Y58" s="413">
        <f t="shared" si="5"/>
        <v>20</v>
      </c>
      <c r="Z58" s="173">
        <v>35</v>
      </c>
      <c r="AA58" s="156">
        <v>0</v>
      </c>
      <c r="AB58" s="399">
        <v>25</v>
      </c>
      <c r="AC58" s="261"/>
      <c r="AD58" s="261"/>
      <c r="AE58" s="261"/>
      <c r="AF58" s="261"/>
      <c r="AG58" s="261"/>
      <c r="AH58" s="261"/>
      <c r="AI58" s="261"/>
      <c r="AJ58" s="263"/>
      <c r="AK58" s="261"/>
      <c r="AL58" s="261"/>
      <c r="AM58" s="280"/>
      <c r="AN58" s="280"/>
      <c r="AO58" s="272"/>
      <c r="AP58" s="272"/>
      <c r="AQ58" s="272"/>
    </row>
    <row r="59" spans="2:43" ht="16.2" thickBot="1" x14ac:dyDescent="0.35">
      <c r="B59" s="1">
        <v>13</v>
      </c>
      <c r="C59" s="407" t="s">
        <v>26</v>
      </c>
      <c r="D59" s="413">
        <f t="shared" si="4"/>
        <v>31.333333333333332</v>
      </c>
      <c r="E59" s="160">
        <v>33</v>
      </c>
      <c r="F59" s="157">
        <v>31</v>
      </c>
      <c r="G59" s="399">
        <v>30</v>
      </c>
      <c r="H59" s="261"/>
      <c r="I59" s="262"/>
      <c r="J59" s="261"/>
      <c r="K59" s="261"/>
      <c r="L59" s="261"/>
      <c r="M59" s="261"/>
      <c r="N59" s="261"/>
      <c r="O59" s="264"/>
      <c r="P59" s="264"/>
      <c r="Q59" s="264"/>
      <c r="R59" s="264"/>
      <c r="S59" s="264"/>
      <c r="T59" s="264"/>
      <c r="U59" s="264"/>
      <c r="V59" s="264"/>
      <c r="W59" s="2">
        <v>27</v>
      </c>
      <c r="X59" s="422" t="s">
        <v>144</v>
      </c>
      <c r="Y59" s="413">
        <f t="shared" si="5"/>
        <v>17.666666666666668</v>
      </c>
      <c r="Z59" s="176">
        <v>28</v>
      </c>
      <c r="AA59" s="156">
        <v>0</v>
      </c>
      <c r="AB59" s="399">
        <v>25</v>
      </c>
      <c r="AC59" s="261"/>
      <c r="AD59" s="261"/>
      <c r="AE59" s="261"/>
      <c r="AF59" s="283"/>
      <c r="AG59" s="261"/>
      <c r="AH59" s="274"/>
      <c r="AI59" s="274"/>
      <c r="AJ59" s="274"/>
      <c r="AK59" s="272"/>
      <c r="AL59" s="272"/>
      <c r="AM59" s="272"/>
      <c r="AN59" s="272"/>
      <c r="AO59" s="272"/>
      <c r="AP59" s="272"/>
      <c r="AQ59" s="272"/>
    </row>
    <row r="60" spans="2:43" ht="23.4" x14ac:dyDescent="0.3">
      <c r="B60" s="1">
        <v>14</v>
      </c>
      <c r="C60" s="407" t="s">
        <v>16</v>
      </c>
      <c r="D60" s="413">
        <f t="shared" si="4"/>
        <v>33.333333333333336</v>
      </c>
      <c r="E60" s="160">
        <v>35</v>
      </c>
      <c r="F60" s="156">
        <v>35</v>
      </c>
      <c r="G60" s="399">
        <v>30</v>
      </c>
      <c r="H60" s="261"/>
      <c r="I60" s="262"/>
      <c r="J60" s="261"/>
      <c r="K60" s="261"/>
      <c r="L60" s="261"/>
      <c r="M60" s="261"/>
      <c r="N60" s="261"/>
      <c r="O60" s="264"/>
      <c r="P60" s="264"/>
      <c r="Q60" s="264"/>
      <c r="R60" s="264"/>
      <c r="S60" s="264"/>
      <c r="T60" s="264"/>
      <c r="U60" s="264"/>
      <c r="V60" s="264"/>
      <c r="W60" s="2">
        <v>28</v>
      </c>
      <c r="X60" s="422" t="s">
        <v>145</v>
      </c>
      <c r="Y60" s="413">
        <f t="shared" si="5"/>
        <v>30.666666666666668</v>
      </c>
      <c r="Z60" s="400">
        <v>34</v>
      </c>
      <c r="AA60" s="359">
        <v>33</v>
      </c>
      <c r="AB60" s="401">
        <v>25</v>
      </c>
      <c r="AC60" s="291"/>
      <c r="AD60" s="291"/>
      <c r="AE60" s="291"/>
      <c r="AF60" s="295"/>
      <c r="AG60" s="291"/>
      <c r="AH60" s="292"/>
      <c r="AI60" s="292"/>
      <c r="AJ60" s="292"/>
      <c r="AK60" s="293"/>
      <c r="AL60" s="293"/>
      <c r="AM60" s="293"/>
      <c r="AN60" s="293"/>
      <c r="AO60" s="293"/>
      <c r="AP60" s="293"/>
      <c r="AQ60" s="293"/>
    </row>
    <row r="61" spans="2:43" ht="22.8" customHeight="1" x14ac:dyDescent="0.3">
      <c r="C61" s="73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X61" s="411" t="s">
        <v>305</v>
      </c>
      <c r="Y61" s="413">
        <f t="shared" si="5"/>
        <v>25</v>
      </c>
      <c r="Z61" s="412">
        <v>35</v>
      </c>
      <c r="AA61" s="365">
        <v>30</v>
      </c>
      <c r="AB61" s="402">
        <v>10</v>
      </c>
      <c r="AC61" s="177"/>
      <c r="AD61" s="177"/>
      <c r="AE61" s="177"/>
      <c r="AF61" s="177"/>
      <c r="AG61" s="177"/>
      <c r="AH61" s="177"/>
      <c r="AI61" s="177"/>
      <c r="AJ61" s="177"/>
      <c r="AK61" s="177"/>
      <c r="AL61" s="177"/>
      <c r="AM61" s="177"/>
      <c r="AN61" s="177"/>
      <c r="AO61" s="177"/>
      <c r="AP61" s="177"/>
      <c r="AQ61" s="177"/>
    </row>
    <row r="62" spans="2:43" ht="10.199999999999999" customHeight="1" x14ac:dyDescent="0.3">
      <c r="C62" s="73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X62" s="414"/>
      <c r="Y62" s="415"/>
      <c r="Z62" s="395"/>
      <c r="AA62" s="395"/>
      <c r="AB62" s="397"/>
      <c r="AC62" s="427"/>
      <c r="AD62" s="427"/>
      <c r="AE62" s="427"/>
      <c r="AF62" s="427"/>
      <c r="AG62" s="427"/>
      <c r="AH62" s="427"/>
      <c r="AI62" s="427"/>
      <c r="AJ62" s="427"/>
      <c r="AK62" s="427"/>
      <c r="AL62" s="427"/>
      <c r="AM62" s="427"/>
      <c r="AN62" s="427"/>
      <c r="AO62" s="427"/>
      <c r="AP62" s="427"/>
      <c r="AQ62" s="427"/>
    </row>
    <row r="63" spans="2:43" ht="21" x14ac:dyDescent="0.3">
      <c r="B63" s="757" t="s">
        <v>146</v>
      </c>
      <c r="C63" s="757"/>
      <c r="D63" s="757"/>
      <c r="E63" s="757"/>
      <c r="F63" s="757"/>
      <c r="G63" s="757"/>
      <c r="H63" s="757"/>
      <c r="I63" s="757"/>
      <c r="J63" s="757"/>
      <c r="K63" s="757"/>
      <c r="L63" s="757"/>
      <c r="M63" s="757"/>
      <c r="N63" s="757"/>
      <c r="O63" s="757"/>
      <c r="P63" s="757"/>
      <c r="Q63" s="757"/>
      <c r="R63" s="757"/>
      <c r="S63" s="757"/>
      <c r="T63" s="757"/>
      <c r="U63" s="757"/>
      <c r="V63" s="757"/>
      <c r="W63" s="757"/>
      <c r="X63" s="757"/>
      <c r="Y63" s="757"/>
      <c r="Z63" s="757"/>
      <c r="AA63" s="757"/>
      <c r="AB63" s="757"/>
      <c r="AC63" s="757"/>
      <c r="AD63" s="757"/>
      <c r="AE63" s="757"/>
      <c r="AF63" s="757"/>
      <c r="AG63" s="757"/>
      <c r="AH63" s="757"/>
      <c r="AI63" s="757"/>
      <c r="AJ63" s="757"/>
      <c r="AK63" s="757"/>
      <c r="AL63" s="757"/>
      <c r="AM63" s="757"/>
      <c r="AN63" s="757"/>
      <c r="AO63" s="757"/>
      <c r="AP63" s="757"/>
      <c r="AQ63" s="757"/>
    </row>
    <row r="64" spans="2:43" ht="18" x14ac:dyDescent="0.3">
      <c r="B64" s="758" t="s">
        <v>34</v>
      </c>
      <c r="C64" s="759"/>
      <c r="D64" s="760" t="s">
        <v>1</v>
      </c>
      <c r="E64" s="767" t="s">
        <v>55</v>
      </c>
      <c r="F64" s="767"/>
      <c r="G64" s="767"/>
      <c r="H64" s="767"/>
      <c r="I64" s="767"/>
      <c r="J64" s="767"/>
      <c r="K64" s="767"/>
      <c r="L64" s="767"/>
      <c r="M64" s="767"/>
      <c r="N64" s="767"/>
      <c r="O64" s="767"/>
      <c r="P64" s="767"/>
      <c r="Q64" s="767"/>
      <c r="R64" s="767"/>
      <c r="S64" s="767"/>
      <c r="T64" s="767"/>
      <c r="U64" s="767"/>
      <c r="V64" s="767"/>
      <c r="W64" s="762" t="s">
        <v>34</v>
      </c>
      <c r="X64" s="759"/>
      <c r="Y64" s="760" t="s">
        <v>1</v>
      </c>
      <c r="Z64" s="767" t="s">
        <v>55</v>
      </c>
      <c r="AA64" s="767"/>
      <c r="AB64" s="767"/>
      <c r="AC64" s="767"/>
      <c r="AD64" s="767"/>
      <c r="AE64" s="767"/>
      <c r="AF64" s="767"/>
      <c r="AG64" s="767"/>
      <c r="AH64" s="767"/>
      <c r="AI64" s="767"/>
      <c r="AJ64" s="767"/>
      <c r="AK64" s="767"/>
      <c r="AL64" s="767"/>
      <c r="AM64" s="767"/>
      <c r="AN64" s="767"/>
      <c r="AO64" s="767"/>
      <c r="AP64" s="767"/>
      <c r="AQ64" s="767"/>
    </row>
    <row r="65" spans="2:43" x14ac:dyDescent="0.3">
      <c r="B65" s="758"/>
      <c r="C65" s="759"/>
      <c r="D65" s="760"/>
      <c r="E65" s="70">
        <v>1</v>
      </c>
      <c r="F65" s="95">
        <v>2</v>
      </c>
      <c r="G65" s="95">
        <v>3</v>
      </c>
      <c r="H65" s="95">
        <v>4</v>
      </c>
      <c r="I65" s="95">
        <v>5</v>
      </c>
      <c r="J65" s="95">
        <v>6</v>
      </c>
      <c r="K65" s="95">
        <v>7</v>
      </c>
      <c r="L65" s="95">
        <v>8</v>
      </c>
      <c r="M65" s="95">
        <v>9</v>
      </c>
      <c r="N65" s="95">
        <v>10</v>
      </c>
      <c r="O65" s="95">
        <v>11</v>
      </c>
      <c r="P65" s="95">
        <v>12</v>
      </c>
      <c r="Q65" s="95">
        <v>13</v>
      </c>
      <c r="R65" s="95">
        <v>14</v>
      </c>
      <c r="S65" s="95">
        <v>15</v>
      </c>
      <c r="T65" s="95">
        <v>16</v>
      </c>
      <c r="U65" s="95">
        <v>17</v>
      </c>
      <c r="V65" s="95">
        <v>18</v>
      </c>
      <c r="W65" s="762"/>
      <c r="X65" s="759"/>
      <c r="Y65" s="760"/>
      <c r="Z65" s="70">
        <v>1</v>
      </c>
      <c r="AA65" s="95">
        <v>2</v>
      </c>
      <c r="AB65" s="95">
        <v>3</v>
      </c>
      <c r="AC65" s="95">
        <v>4</v>
      </c>
      <c r="AD65" s="95">
        <v>5</v>
      </c>
      <c r="AE65" s="95">
        <v>6</v>
      </c>
      <c r="AF65" s="95">
        <v>7</v>
      </c>
      <c r="AG65" s="95">
        <v>8</v>
      </c>
      <c r="AH65" s="95">
        <v>9</v>
      </c>
      <c r="AI65" s="95">
        <v>10</v>
      </c>
      <c r="AJ65" s="95">
        <v>11</v>
      </c>
      <c r="AK65" s="72">
        <v>12</v>
      </c>
      <c r="AL65" s="72">
        <v>13</v>
      </c>
      <c r="AM65" s="72">
        <v>14</v>
      </c>
      <c r="AN65" s="72">
        <v>15</v>
      </c>
      <c r="AO65" s="72">
        <v>16</v>
      </c>
      <c r="AP65" s="72">
        <v>17</v>
      </c>
      <c r="AQ65" s="72">
        <v>18</v>
      </c>
    </row>
    <row r="66" spans="2:43" x14ac:dyDescent="0.3">
      <c r="B66" s="758"/>
      <c r="C66" s="759"/>
      <c r="D66" s="760"/>
      <c r="E66" s="763" t="s">
        <v>3</v>
      </c>
      <c r="F66" s="764"/>
      <c r="G66" s="764"/>
      <c r="H66" s="764"/>
      <c r="I66" s="764"/>
      <c r="J66" s="764"/>
      <c r="K66" s="764"/>
      <c r="L66" s="764"/>
      <c r="M66" s="764"/>
      <c r="N66" s="764"/>
      <c r="O66" s="764"/>
      <c r="P66" s="764"/>
      <c r="Q66" s="764"/>
      <c r="R66" s="764"/>
      <c r="S66" s="765"/>
      <c r="T66" s="74"/>
      <c r="U66" s="76"/>
      <c r="V66" s="76"/>
      <c r="W66" s="762"/>
      <c r="X66" s="759"/>
      <c r="Y66" s="760"/>
      <c r="Z66" s="766" t="s">
        <v>3</v>
      </c>
      <c r="AA66" s="766"/>
      <c r="AB66" s="766"/>
      <c r="AC66" s="766"/>
      <c r="AD66" s="766"/>
      <c r="AE66" s="766"/>
      <c r="AF66" s="766"/>
      <c r="AG66" s="766"/>
      <c r="AH66" s="766"/>
      <c r="AI66" s="766"/>
      <c r="AJ66" s="766"/>
      <c r="AK66" s="766"/>
      <c r="AL66" s="766"/>
      <c r="AM66" s="766"/>
      <c r="AN66" s="766"/>
      <c r="AO66" s="77"/>
      <c r="AP66" s="77"/>
      <c r="AQ66" s="77"/>
    </row>
    <row r="67" spans="2:43" ht="151.80000000000001" customHeight="1" x14ac:dyDescent="0.3">
      <c r="B67" s="758"/>
      <c r="C67" s="759"/>
      <c r="D67" s="760"/>
      <c r="E67" s="93" t="s">
        <v>153</v>
      </c>
      <c r="F67" s="315" t="s">
        <v>185</v>
      </c>
      <c r="G67" s="298" t="s">
        <v>280</v>
      </c>
      <c r="H67" s="316" t="s">
        <v>281</v>
      </c>
      <c r="I67" s="317" t="s">
        <v>311</v>
      </c>
      <c r="J67" s="317">
        <f>-S28</f>
        <v>0</v>
      </c>
      <c r="K67" s="318" t="s">
        <v>313</v>
      </c>
      <c r="L67" s="311" t="s">
        <v>321</v>
      </c>
      <c r="M67" s="313" t="s">
        <v>131</v>
      </c>
      <c r="N67" s="323" t="s">
        <v>350</v>
      </c>
      <c r="O67" s="85"/>
      <c r="P67" s="71"/>
      <c r="Q67" s="71"/>
      <c r="R67" s="71"/>
      <c r="S67" s="71"/>
      <c r="T67" s="71"/>
      <c r="U67" s="71"/>
      <c r="V67" s="71"/>
      <c r="W67" s="762"/>
      <c r="X67" s="759"/>
      <c r="Y67" s="760"/>
      <c r="Z67" s="93" t="s">
        <v>153</v>
      </c>
      <c r="AA67" s="297" t="s">
        <v>185</v>
      </c>
      <c r="AB67" s="298" t="s">
        <v>280</v>
      </c>
      <c r="AC67" s="299" t="s">
        <v>281</v>
      </c>
      <c r="AD67" s="319" t="s">
        <v>311</v>
      </c>
      <c r="AE67" s="319" t="s">
        <v>306</v>
      </c>
      <c r="AF67" s="320" t="s">
        <v>313</v>
      </c>
      <c r="AG67" s="311" t="s">
        <v>321</v>
      </c>
      <c r="AH67" s="313" t="s">
        <v>131</v>
      </c>
      <c r="AI67" s="323" t="s">
        <v>350</v>
      </c>
      <c r="AJ67" s="90"/>
      <c r="AK67" s="91"/>
      <c r="AL67" s="91"/>
      <c r="AM67" s="91"/>
      <c r="AN67" s="91"/>
      <c r="AO67" s="91"/>
      <c r="AP67" s="91"/>
      <c r="AQ67" s="91"/>
    </row>
    <row r="68" spans="2:43" ht="18" customHeight="1" x14ac:dyDescent="0.3">
      <c r="B68" s="1">
        <v>1</v>
      </c>
      <c r="C68" s="405" t="s">
        <v>284</v>
      </c>
      <c r="D68" s="413">
        <f>((E68+F68+G68+H68+I68+J68+K68+L68+M68+N68)/10)</f>
        <v>23</v>
      </c>
      <c r="E68" s="428">
        <v>18</v>
      </c>
      <c r="F68" s="369">
        <v>0</v>
      </c>
      <c r="G68" s="369">
        <v>35</v>
      </c>
      <c r="H68" s="184">
        <v>22</v>
      </c>
      <c r="I68" s="184">
        <v>18</v>
      </c>
      <c r="J68" s="184">
        <v>25</v>
      </c>
      <c r="K68" s="163">
        <v>30</v>
      </c>
      <c r="L68" s="398">
        <v>30</v>
      </c>
      <c r="M68" s="333">
        <v>22</v>
      </c>
      <c r="N68" s="152">
        <v>30</v>
      </c>
      <c r="O68" s="275" t="s">
        <v>351</v>
      </c>
      <c r="P68" s="259"/>
      <c r="Q68" s="259"/>
      <c r="R68" s="259"/>
      <c r="S68" s="259"/>
      <c r="T68" s="259"/>
      <c r="U68" s="259"/>
      <c r="V68" s="259"/>
      <c r="W68" s="2">
        <v>15</v>
      </c>
      <c r="X68" s="407" t="s">
        <v>17</v>
      </c>
      <c r="Y68" s="413">
        <f>((Z68+AA68+AB68+AC68+AD68+AE68+AF68+AG68+AH68+AI68)/10)</f>
        <v>25</v>
      </c>
      <c r="Z68" s="436">
        <v>35</v>
      </c>
      <c r="AA68" s="184">
        <v>20</v>
      </c>
      <c r="AB68" s="369">
        <v>0</v>
      </c>
      <c r="AC68" s="184">
        <v>26</v>
      </c>
      <c r="AD68" s="184">
        <v>30</v>
      </c>
      <c r="AE68" s="369">
        <v>31</v>
      </c>
      <c r="AF68" s="163">
        <v>28</v>
      </c>
      <c r="AG68" s="398">
        <v>30</v>
      </c>
      <c r="AH68" s="333">
        <v>22</v>
      </c>
      <c r="AI68" s="152">
        <v>28</v>
      </c>
      <c r="AJ68" s="278" t="s">
        <v>353</v>
      </c>
      <c r="AK68" s="257"/>
      <c r="AL68" s="257"/>
      <c r="AM68" s="279"/>
      <c r="AN68" s="279"/>
      <c r="AO68" s="270"/>
      <c r="AP68" s="270"/>
      <c r="AQ68" s="270"/>
    </row>
    <row r="69" spans="2:43" ht="18" customHeight="1" x14ac:dyDescent="0.3">
      <c r="B69" s="1">
        <v>2</v>
      </c>
      <c r="C69" s="406" t="s">
        <v>22</v>
      </c>
      <c r="D69" s="413">
        <f t="shared" ref="D69:D81" si="6">((E69+F69+G69+H69+I69+J69+K69+L69+M69+N69)/10)</f>
        <v>23.3</v>
      </c>
      <c r="E69" s="429">
        <v>28</v>
      </c>
      <c r="F69" s="185">
        <v>35</v>
      </c>
      <c r="G69" s="184">
        <v>28</v>
      </c>
      <c r="H69" s="184">
        <v>35</v>
      </c>
      <c r="I69" s="184">
        <v>30</v>
      </c>
      <c r="J69" s="372">
        <v>0</v>
      </c>
      <c r="K69" s="156">
        <v>30</v>
      </c>
      <c r="L69" s="399">
        <v>25</v>
      </c>
      <c r="M69" s="339">
        <v>22</v>
      </c>
      <c r="N69" s="156">
        <v>0</v>
      </c>
      <c r="O69" s="276" t="s">
        <v>352</v>
      </c>
      <c r="P69" s="264"/>
      <c r="Q69" s="264"/>
      <c r="R69" s="264"/>
      <c r="S69" s="264"/>
      <c r="T69" s="264"/>
      <c r="U69" s="264"/>
      <c r="V69" s="264"/>
      <c r="W69" s="2">
        <v>16</v>
      </c>
      <c r="X69" s="405" t="s">
        <v>288</v>
      </c>
      <c r="Y69" s="413">
        <f t="shared" ref="Y69:Y82" si="7">((Z69+AA69+AB69+AC69+AD69+AE69+AF69+AG69+AH69+AI69)/10)</f>
        <v>21.3</v>
      </c>
      <c r="Z69" s="437">
        <v>0</v>
      </c>
      <c r="AA69" s="372">
        <v>0</v>
      </c>
      <c r="AB69" s="185">
        <v>25</v>
      </c>
      <c r="AC69" s="185">
        <v>35</v>
      </c>
      <c r="AD69" s="185">
        <v>35</v>
      </c>
      <c r="AE69" s="185">
        <v>22</v>
      </c>
      <c r="AF69" s="156">
        <v>34</v>
      </c>
      <c r="AG69" s="399">
        <v>10</v>
      </c>
      <c r="AH69" s="339">
        <v>22</v>
      </c>
      <c r="AI69" s="156">
        <v>30</v>
      </c>
      <c r="AJ69" s="263" t="s">
        <v>353</v>
      </c>
      <c r="AK69" s="261"/>
      <c r="AL69" s="280"/>
      <c r="AM69" s="280"/>
      <c r="AN69" s="280"/>
      <c r="AO69" s="272"/>
      <c r="AP69" s="272"/>
      <c r="AQ69" s="272"/>
    </row>
    <row r="70" spans="2:43" ht="18" customHeight="1" x14ac:dyDescent="0.3">
      <c r="B70" s="1">
        <v>3</v>
      </c>
      <c r="C70" s="407" t="s">
        <v>12</v>
      </c>
      <c r="D70" s="413">
        <f t="shared" si="6"/>
        <v>21.8</v>
      </c>
      <c r="E70" s="429">
        <v>18</v>
      </c>
      <c r="F70" s="185">
        <v>35</v>
      </c>
      <c r="G70" s="184">
        <v>7</v>
      </c>
      <c r="H70" s="184">
        <v>35</v>
      </c>
      <c r="I70" s="369">
        <v>0</v>
      </c>
      <c r="J70" s="185">
        <v>15</v>
      </c>
      <c r="K70" s="156">
        <v>35</v>
      </c>
      <c r="L70" s="399">
        <v>15</v>
      </c>
      <c r="M70" s="333">
        <v>28</v>
      </c>
      <c r="N70" s="156">
        <v>30</v>
      </c>
      <c r="O70" s="276" t="s">
        <v>353</v>
      </c>
      <c r="P70" s="264"/>
      <c r="Q70" s="264"/>
      <c r="R70" s="264"/>
      <c r="S70" s="264"/>
      <c r="T70" s="264"/>
      <c r="U70" s="264"/>
      <c r="V70" s="264"/>
      <c r="W70" s="1">
        <v>17</v>
      </c>
      <c r="X70" s="407" t="s">
        <v>130</v>
      </c>
      <c r="Y70" s="413">
        <f t="shared" si="7"/>
        <v>34.5</v>
      </c>
      <c r="Z70" s="438">
        <v>35</v>
      </c>
      <c r="AA70" s="185">
        <v>35</v>
      </c>
      <c r="AB70" s="185">
        <v>35</v>
      </c>
      <c r="AC70" s="185">
        <v>35</v>
      </c>
      <c r="AD70" s="185">
        <v>35</v>
      </c>
      <c r="AE70" s="185">
        <v>35</v>
      </c>
      <c r="AF70" s="156">
        <v>30</v>
      </c>
      <c r="AG70" s="399">
        <v>35</v>
      </c>
      <c r="AH70" s="339">
        <v>35</v>
      </c>
      <c r="AI70" s="156">
        <v>35</v>
      </c>
      <c r="AJ70" s="263" t="s">
        <v>353</v>
      </c>
      <c r="AK70" s="280"/>
      <c r="AL70" s="280"/>
      <c r="AM70" s="280"/>
      <c r="AN70" s="280"/>
      <c r="AO70" s="272"/>
      <c r="AP70" s="272"/>
      <c r="AQ70" s="272"/>
    </row>
    <row r="71" spans="2:43" ht="18" customHeight="1" x14ac:dyDescent="0.3">
      <c r="B71" s="1">
        <v>4</v>
      </c>
      <c r="C71" s="406" t="s">
        <v>23</v>
      </c>
      <c r="D71" s="413">
        <f t="shared" si="6"/>
        <v>33.5</v>
      </c>
      <c r="E71" s="429">
        <v>35</v>
      </c>
      <c r="F71" s="185">
        <v>30</v>
      </c>
      <c r="G71" s="184">
        <v>35</v>
      </c>
      <c r="H71" s="184">
        <v>35</v>
      </c>
      <c r="I71" s="184">
        <v>35</v>
      </c>
      <c r="J71" s="185">
        <v>30</v>
      </c>
      <c r="K71" s="156">
        <v>35</v>
      </c>
      <c r="L71" s="399">
        <v>35</v>
      </c>
      <c r="M71" s="339">
        <v>35</v>
      </c>
      <c r="N71" s="158">
        <v>30</v>
      </c>
      <c r="O71" s="277" t="s">
        <v>353</v>
      </c>
      <c r="P71" s="265"/>
      <c r="Q71" s="265"/>
      <c r="R71" s="265"/>
      <c r="S71" s="265"/>
      <c r="T71" s="265"/>
      <c r="U71" s="265"/>
      <c r="V71" s="265"/>
      <c r="W71" s="2">
        <v>18</v>
      </c>
      <c r="X71" s="407" t="s">
        <v>28</v>
      </c>
      <c r="Y71" s="413">
        <f t="shared" si="7"/>
        <v>33.200000000000003</v>
      </c>
      <c r="Z71" s="438">
        <v>35</v>
      </c>
      <c r="AA71" s="185">
        <v>35</v>
      </c>
      <c r="AB71" s="185">
        <v>35</v>
      </c>
      <c r="AC71" s="185">
        <v>35</v>
      </c>
      <c r="AD71" s="185">
        <v>35</v>
      </c>
      <c r="AE71" s="185">
        <v>35</v>
      </c>
      <c r="AF71" s="156">
        <v>35</v>
      </c>
      <c r="AG71" s="399">
        <v>30</v>
      </c>
      <c r="AH71" s="339">
        <v>22</v>
      </c>
      <c r="AI71" s="156">
        <v>35</v>
      </c>
      <c r="AJ71" s="263"/>
      <c r="AK71" s="261"/>
      <c r="AL71" s="261"/>
      <c r="AM71" s="280"/>
      <c r="AN71" s="280"/>
      <c r="AO71" s="272"/>
      <c r="AP71" s="272"/>
      <c r="AQ71" s="272"/>
    </row>
    <row r="72" spans="2:43" ht="18" customHeight="1" x14ac:dyDescent="0.3">
      <c r="B72" s="1">
        <v>5</v>
      </c>
      <c r="C72" s="405" t="s">
        <v>292</v>
      </c>
      <c r="D72" s="413">
        <f t="shared" si="6"/>
        <v>21.3</v>
      </c>
      <c r="E72" s="430">
        <v>30</v>
      </c>
      <c r="F72" s="185">
        <v>25</v>
      </c>
      <c r="G72" s="184">
        <v>30</v>
      </c>
      <c r="H72" s="184">
        <v>18</v>
      </c>
      <c r="I72" s="184">
        <v>30</v>
      </c>
      <c r="J72" s="185"/>
      <c r="K72" s="156">
        <v>0</v>
      </c>
      <c r="L72" s="399">
        <v>25</v>
      </c>
      <c r="M72" s="333">
        <v>30</v>
      </c>
      <c r="N72" s="156">
        <v>25</v>
      </c>
      <c r="O72" s="276" t="s">
        <v>351</v>
      </c>
      <c r="P72" s="264"/>
      <c r="Q72" s="264"/>
      <c r="R72" s="264"/>
      <c r="S72" s="264"/>
      <c r="T72" s="264"/>
      <c r="U72" s="264"/>
      <c r="V72" s="264"/>
      <c r="W72" s="2">
        <v>19</v>
      </c>
      <c r="X72" s="408" t="s">
        <v>29</v>
      </c>
      <c r="Y72" s="413">
        <f t="shared" si="7"/>
        <v>19.5</v>
      </c>
      <c r="Z72" s="438">
        <v>18</v>
      </c>
      <c r="AA72" s="185">
        <v>25</v>
      </c>
      <c r="AB72" s="185">
        <v>18</v>
      </c>
      <c r="AC72" s="185">
        <v>18</v>
      </c>
      <c r="AD72" s="185">
        <v>28</v>
      </c>
      <c r="AE72" s="185">
        <v>26</v>
      </c>
      <c r="AF72" s="156">
        <v>0</v>
      </c>
      <c r="AG72" s="399">
        <v>20</v>
      </c>
      <c r="AH72" s="339">
        <v>22</v>
      </c>
      <c r="AI72" s="156">
        <v>20</v>
      </c>
      <c r="AJ72" s="263" t="s">
        <v>353</v>
      </c>
      <c r="AK72" s="280"/>
      <c r="AL72" s="280"/>
      <c r="AM72" s="280"/>
      <c r="AN72" s="280"/>
      <c r="AO72" s="272"/>
      <c r="AP72" s="272"/>
      <c r="AQ72" s="272"/>
    </row>
    <row r="73" spans="2:43" ht="18" customHeight="1" x14ac:dyDescent="0.3">
      <c r="B73" s="1">
        <v>6</v>
      </c>
      <c r="C73" s="405" t="s">
        <v>295</v>
      </c>
      <c r="D73" s="413">
        <f t="shared" si="6"/>
        <v>13.6</v>
      </c>
      <c r="E73" s="429">
        <v>18</v>
      </c>
      <c r="F73" s="185">
        <v>35</v>
      </c>
      <c r="G73" s="369">
        <v>0</v>
      </c>
      <c r="H73" s="184">
        <v>20</v>
      </c>
      <c r="I73" s="184">
        <v>20</v>
      </c>
      <c r="J73" s="372">
        <v>0</v>
      </c>
      <c r="K73" s="156">
        <v>0</v>
      </c>
      <c r="L73" s="399">
        <v>25</v>
      </c>
      <c r="M73" s="339">
        <v>18</v>
      </c>
      <c r="N73" s="156">
        <v>0</v>
      </c>
      <c r="O73" s="276" t="s">
        <v>353</v>
      </c>
      <c r="P73" s="264"/>
      <c r="Q73" s="264"/>
      <c r="R73" s="264"/>
      <c r="S73" s="264"/>
      <c r="T73" s="264"/>
      <c r="U73" s="264"/>
      <c r="V73" s="264"/>
      <c r="W73" s="1">
        <v>20</v>
      </c>
      <c r="X73" s="407" t="s">
        <v>18</v>
      </c>
      <c r="Y73" s="413">
        <f t="shared" si="7"/>
        <v>34</v>
      </c>
      <c r="Z73" s="438">
        <v>35</v>
      </c>
      <c r="AA73" s="185">
        <v>35</v>
      </c>
      <c r="AB73" s="185">
        <v>35</v>
      </c>
      <c r="AC73" s="185">
        <v>35</v>
      </c>
      <c r="AD73" s="185">
        <v>35</v>
      </c>
      <c r="AE73" s="185">
        <v>35</v>
      </c>
      <c r="AF73" s="156">
        <v>35</v>
      </c>
      <c r="AG73" s="399">
        <v>35</v>
      </c>
      <c r="AH73" s="339">
        <v>30</v>
      </c>
      <c r="AI73" s="156">
        <v>30</v>
      </c>
      <c r="AJ73" s="263" t="s">
        <v>351</v>
      </c>
      <c r="AK73" s="288"/>
      <c r="AL73" s="280"/>
      <c r="AM73" s="280"/>
      <c r="AN73" s="280"/>
      <c r="AO73" s="272"/>
      <c r="AP73" s="272"/>
      <c r="AQ73" s="272"/>
    </row>
    <row r="74" spans="2:43" ht="18" customHeight="1" x14ac:dyDescent="0.3">
      <c r="B74" s="1">
        <v>7</v>
      </c>
      <c r="C74" s="405" t="s">
        <v>285</v>
      </c>
      <c r="D74" s="413">
        <f t="shared" si="6"/>
        <v>4.5</v>
      </c>
      <c r="E74" s="431">
        <v>0</v>
      </c>
      <c r="F74" s="432">
        <v>0</v>
      </c>
      <c r="G74" s="433">
        <v>0</v>
      </c>
      <c r="H74" s="433">
        <v>0</v>
      </c>
      <c r="I74" s="433">
        <v>0</v>
      </c>
      <c r="J74" s="432">
        <v>0</v>
      </c>
      <c r="K74" s="403">
        <v>0</v>
      </c>
      <c r="L74" s="399">
        <v>30</v>
      </c>
      <c r="M74" s="333">
        <v>15</v>
      </c>
      <c r="N74" s="156">
        <v>0</v>
      </c>
      <c r="O74" s="276" t="s">
        <v>353</v>
      </c>
      <c r="P74" s="264"/>
      <c r="Q74" s="264"/>
      <c r="R74" s="264"/>
      <c r="S74" s="264"/>
      <c r="T74" s="264"/>
      <c r="U74" s="264"/>
      <c r="V74" s="264"/>
      <c r="W74" s="2">
        <v>21</v>
      </c>
      <c r="X74" s="409" t="s">
        <v>290</v>
      </c>
      <c r="Y74" s="413">
        <f t="shared" si="7"/>
        <v>5.6</v>
      </c>
      <c r="Z74" s="439">
        <v>0</v>
      </c>
      <c r="AA74" s="186">
        <v>0</v>
      </c>
      <c r="AB74" s="185">
        <v>18</v>
      </c>
      <c r="AC74" s="185">
        <v>18</v>
      </c>
      <c r="AD74" s="368">
        <v>0</v>
      </c>
      <c r="AE74" s="186"/>
      <c r="AF74" s="156">
        <v>0</v>
      </c>
      <c r="AG74" s="399">
        <v>20</v>
      </c>
      <c r="AH74" s="339">
        <v>0</v>
      </c>
      <c r="AI74" s="156">
        <v>0</v>
      </c>
      <c r="AJ74" s="263" t="s">
        <v>353</v>
      </c>
      <c r="AK74" s="280"/>
      <c r="AL74" s="280"/>
      <c r="AM74" s="280"/>
      <c r="AN74" s="280"/>
      <c r="AO74" s="272"/>
      <c r="AP74" s="272"/>
      <c r="AQ74" s="272"/>
    </row>
    <row r="75" spans="2:43" ht="18" customHeight="1" x14ac:dyDescent="0.3">
      <c r="B75" s="1">
        <v>8</v>
      </c>
      <c r="C75" s="407" t="s">
        <v>14</v>
      </c>
      <c r="D75" s="413">
        <f t="shared" si="6"/>
        <v>33.5</v>
      </c>
      <c r="E75" s="434">
        <v>35</v>
      </c>
      <c r="F75" s="185">
        <v>30</v>
      </c>
      <c r="G75" s="184">
        <v>35</v>
      </c>
      <c r="H75" s="184">
        <v>30</v>
      </c>
      <c r="I75" s="184">
        <v>35</v>
      </c>
      <c r="J75" s="185">
        <v>30</v>
      </c>
      <c r="K75" s="156">
        <v>35</v>
      </c>
      <c r="L75" s="399">
        <v>35</v>
      </c>
      <c r="M75" s="339">
        <v>35</v>
      </c>
      <c r="N75" s="156">
        <v>35</v>
      </c>
      <c r="O75" s="276" t="s">
        <v>353</v>
      </c>
      <c r="P75" s="264"/>
      <c r="Q75" s="264"/>
      <c r="R75" s="264"/>
      <c r="S75" s="264"/>
      <c r="T75" s="264"/>
      <c r="U75" s="264"/>
      <c r="V75" s="264"/>
      <c r="W75" s="2">
        <v>22</v>
      </c>
      <c r="X75" s="407" t="s">
        <v>30</v>
      </c>
      <c r="Y75" s="413">
        <f t="shared" si="7"/>
        <v>21.2</v>
      </c>
      <c r="Z75" s="438">
        <v>18</v>
      </c>
      <c r="AA75" s="185">
        <v>15</v>
      </c>
      <c r="AB75" s="185">
        <v>18</v>
      </c>
      <c r="AC75" s="185">
        <v>35</v>
      </c>
      <c r="AD75" s="185">
        <v>22</v>
      </c>
      <c r="AE75" s="185">
        <v>20</v>
      </c>
      <c r="AF75" s="156">
        <v>28</v>
      </c>
      <c r="AG75" s="399">
        <v>10</v>
      </c>
      <c r="AH75" s="339">
        <v>18</v>
      </c>
      <c r="AI75" s="156">
        <v>28</v>
      </c>
      <c r="AJ75" s="263" t="s">
        <v>353</v>
      </c>
      <c r="AK75" s="280"/>
      <c r="AL75" s="280"/>
      <c r="AM75" s="280"/>
      <c r="AN75" s="280"/>
      <c r="AO75" s="272"/>
      <c r="AP75" s="272"/>
      <c r="AQ75" s="272"/>
    </row>
    <row r="76" spans="2:43" ht="18" customHeight="1" x14ac:dyDescent="0.3">
      <c r="B76" s="1">
        <v>9</v>
      </c>
      <c r="C76" s="407" t="s">
        <v>51</v>
      </c>
      <c r="D76" s="413">
        <f t="shared" si="6"/>
        <v>31.8</v>
      </c>
      <c r="E76" s="434">
        <v>30</v>
      </c>
      <c r="F76" s="185">
        <v>35</v>
      </c>
      <c r="G76" s="369">
        <v>34</v>
      </c>
      <c r="H76" s="183">
        <v>33</v>
      </c>
      <c r="I76" s="184">
        <v>35</v>
      </c>
      <c r="J76" s="185">
        <v>33</v>
      </c>
      <c r="K76" s="156">
        <v>35</v>
      </c>
      <c r="L76" s="399">
        <v>35</v>
      </c>
      <c r="M76" s="333">
        <v>18</v>
      </c>
      <c r="N76" s="156">
        <v>30</v>
      </c>
      <c r="O76" s="276" t="s">
        <v>351</v>
      </c>
      <c r="P76" s="264"/>
      <c r="Q76" s="264"/>
      <c r="R76" s="264"/>
      <c r="S76" s="264"/>
      <c r="T76" s="264"/>
      <c r="U76" s="264"/>
      <c r="V76" s="264"/>
      <c r="W76" s="1">
        <v>23</v>
      </c>
      <c r="X76" s="407" t="s">
        <v>19</v>
      </c>
      <c r="Y76" s="413">
        <f t="shared" si="7"/>
        <v>24.9</v>
      </c>
      <c r="Z76" s="438">
        <v>28</v>
      </c>
      <c r="AA76" s="185">
        <v>30</v>
      </c>
      <c r="AB76" s="185">
        <v>20</v>
      </c>
      <c r="AC76" s="185">
        <v>18</v>
      </c>
      <c r="AD76" s="185">
        <v>28</v>
      </c>
      <c r="AE76" s="185">
        <v>25</v>
      </c>
      <c r="AF76" s="335">
        <v>25</v>
      </c>
      <c r="AG76" s="399">
        <v>25</v>
      </c>
      <c r="AH76" s="339">
        <v>22</v>
      </c>
      <c r="AI76" s="156">
        <v>28</v>
      </c>
      <c r="AJ76" s="263" t="s">
        <v>351</v>
      </c>
      <c r="AK76" s="280"/>
      <c r="AL76" s="280"/>
      <c r="AM76" s="280"/>
      <c r="AN76" s="280"/>
      <c r="AO76" s="272"/>
      <c r="AP76" s="272"/>
      <c r="AQ76" s="272"/>
    </row>
    <row r="77" spans="2:43" ht="18" customHeight="1" x14ac:dyDescent="0.3">
      <c r="B77" s="1">
        <v>10</v>
      </c>
      <c r="C77" s="405" t="s">
        <v>286</v>
      </c>
      <c r="D77" s="413">
        <f t="shared" si="6"/>
        <v>13.6</v>
      </c>
      <c r="E77" s="435">
        <v>0</v>
      </c>
      <c r="F77" s="185">
        <v>25</v>
      </c>
      <c r="G77" s="369">
        <v>0</v>
      </c>
      <c r="H77" s="184">
        <v>18</v>
      </c>
      <c r="I77" s="369">
        <v>0</v>
      </c>
      <c r="J77" s="372">
        <v>0</v>
      </c>
      <c r="K77" s="156">
        <v>30</v>
      </c>
      <c r="L77" s="399">
        <v>15</v>
      </c>
      <c r="M77" s="333">
        <v>18</v>
      </c>
      <c r="N77" s="335">
        <v>30</v>
      </c>
      <c r="O77" s="276" t="s">
        <v>353</v>
      </c>
      <c r="P77" s="264"/>
      <c r="Q77" s="264"/>
      <c r="R77" s="264"/>
      <c r="S77" s="264"/>
      <c r="T77" s="264"/>
      <c r="U77" s="264"/>
      <c r="V77" s="264"/>
      <c r="W77" s="2">
        <v>24</v>
      </c>
      <c r="X77" s="405" t="s">
        <v>294</v>
      </c>
      <c r="Y77" s="413">
        <f t="shared" si="7"/>
        <v>1</v>
      </c>
      <c r="Z77" s="440">
        <v>0</v>
      </c>
      <c r="AA77" s="183">
        <v>0</v>
      </c>
      <c r="AB77" s="186">
        <v>0</v>
      </c>
      <c r="AC77" s="186">
        <v>0</v>
      </c>
      <c r="AD77" s="441">
        <v>0</v>
      </c>
      <c r="AE77" s="441"/>
      <c r="AF77" s="156">
        <v>0</v>
      </c>
      <c r="AG77" s="399">
        <v>10</v>
      </c>
      <c r="AH77" s="339">
        <v>0</v>
      </c>
      <c r="AI77" s="156">
        <v>0</v>
      </c>
      <c r="AJ77" s="263" t="s">
        <v>351</v>
      </c>
      <c r="AK77" s="280"/>
      <c r="AL77" s="280"/>
      <c r="AM77" s="280"/>
      <c r="AN77" s="280"/>
      <c r="AO77" s="272"/>
      <c r="AP77" s="272"/>
      <c r="AQ77" s="272"/>
    </row>
    <row r="78" spans="2:43" ht="18" customHeight="1" x14ac:dyDescent="0.3">
      <c r="B78" s="1">
        <v>11</v>
      </c>
      <c r="C78" s="407" t="s">
        <v>25</v>
      </c>
      <c r="D78" s="413">
        <f t="shared" si="6"/>
        <v>18.3</v>
      </c>
      <c r="E78" s="429">
        <v>35</v>
      </c>
      <c r="F78" s="372">
        <v>0</v>
      </c>
      <c r="G78" s="184">
        <v>18</v>
      </c>
      <c r="H78" s="184">
        <v>35</v>
      </c>
      <c r="I78" s="184">
        <v>35</v>
      </c>
      <c r="J78" s="372">
        <v>0</v>
      </c>
      <c r="K78" s="156">
        <v>0</v>
      </c>
      <c r="L78" s="399">
        <v>20</v>
      </c>
      <c r="M78" s="339">
        <v>22</v>
      </c>
      <c r="N78" s="156">
        <v>18</v>
      </c>
      <c r="O78" s="276" t="s">
        <v>353</v>
      </c>
      <c r="P78" s="264"/>
      <c r="Q78" s="264"/>
      <c r="R78" s="264"/>
      <c r="S78" s="264"/>
      <c r="T78" s="264"/>
      <c r="U78" s="264"/>
      <c r="V78" s="264"/>
      <c r="W78" s="2">
        <v>25</v>
      </c>
      <c r="X78" s="407" t="s">
        <v>20</v>
      </c>
      <c r="Y78" s="413">
        <f t="shared" si="7"/>
        <v>24.5</v>
      </c>
      <c r="Z78" s="442">
        <v>35</v>
      </c>
      <c r="AA78" s="185">
        <v>30</v>
      </c>
      <c r="AB78" s="185">
        <v>20</v>
      </c>
      <c r="AC78" s="185">
        <v>30</v>
      </c>
      <c r="AD78" s="185">
        <v>18</v>
      </c>
      <c r="AE78" s="185">
        <v>26</v>
      </c>
      <c r="AF78" s="156">
        <v>0</v>
      </c>
      <c r="AG78" s="399">
        <v>30</v>
      </c>
      <c r="AH78" s="339">
        <v>28</v>
      </c>
      <c r="AI78" s="156">
        <v>28</v>
      </c>
      <c r="AJ78" s="263" t="s">
        <v>353</v>
      </c>
      <c r="AK78" s="280"/>
      <c r="AL78" s="280"/>
      <c r="AM78" s="280"/>
      <c r="AN78" s="280"/>
      <c r="AO78" s="272"/>
      <c r="AP78" s="272"/>
      <c r="AQ78" s="272"/>
    </row>
    <row r="79" spans="2:43" ht="18" customHeight="1" x14ac:dyDescent="0.3">
      <c r="B79" s="1">
        <v>12</v>
      </c>
      <c r="C79" s="405" t="s">
        <v>293</v>
      </c>
      <c r="D79" s="413">
        <f t="shared" si="6"/>
        <v>16.600000000000001</v>
      </c>
      <c r="E79" s="429">
        <v>18</v>
      </c>
      <c r="F79" s="185">
        <v>35</v>
      </c>
      <c r="G79" s="184">
        <v>20</v>
      </c>
      <c r="H79" s="369">
        <v>0</v>
      </c>
      <c r="I79" s="184">
        <v>28</v>
      </c>
      <c r="J79" s="185">
        <v>23</v>
      </c>
      <c r="K79" s="156">
        <v>0</v>
      </c>
      <c r="L79" s="399">
        <v>20</v>
      </c>
      <c r="M79" s="333">
        <v>22</v>
      </c>
      <c r="N79" s="156">
        <v>0</v>
      </c>
      <c r="O79" s="276" t="s">
        <v>351</v>
      </c>
      <c r="P79" s="264"/>
      <c r="Q79" s="264"/>
      <c r="R79" s="264"/>
      <c r="S79" s="264"/>
      <c r="T79" s="264"/>
      <c r="U79" s="264"/>
      <c r="V79" s="264"/>
      <c r="W79" s="1">
        <v>26</v>
      </c>
      <c r="X79" s="407" t="s">
        <v>31</v>
      </c>
      <c r="Y79" s="413">
        <f t="shared" si="7"/>
        <v>20.100000000000001</v>
      </c>
      <c r="Z79" s="442">
        <v>18</v>
      </c>
      <c r="AA79" s="185">
        <v>30</v>
      </c>
      <c r="AB79" s="185">
        <v>17</v>
      </c>
      <c r="AC79" s="185">
        <v>30</v>
      </c>
      <c r="AD79" s="185">
        <v>33</v>
      </c>
      <c r="AE79" s="185">
        <v>20</v>
      </c>
      <c r="AF79" s="156">
        <v>0</v>
      </c>
      <c r="AG79" s="399">
        <v>25</v>
      </c>
      <c r="AH79" s="339">
        <v>28</v>
      </c>
      <c r="AI79" s="156">
        <v>0</v>
      </c>
      <c r="AJ79" s="263" t="s">
        <v>353</v>
      </c>
      <c r="AK79" s="261"/>
      <c r="AL79" s="261"/>
      <c r="AM79" s="280"/>
      <c r="AN79" s="280"/>
      <c r="AO79" s="272"/>
      <c r="AP79" s="272"/>
      <c r="AQ79" s="272"/>
    </row>
    <row r="80" spans="2:43" ht="18" customHeight="1" thickBot="1" x14ac:dyDescent="0.35">
      <c r="B80" s="1">
        <v>13</v>
      </c>
      <c r="C80" s="405" t="s">
        <v>296</v>
      </c>
      <c r="D80" s="413">
        <f t="shared" si="6"/>
        <v>26.7</v>
      </c>
      <c r="E80" s="434">
        <v>30</v>
      </c>
      <c r="F80" s="185">
        <v>25</v>
      </c>
      <c r="G80" s="185">
        <v>30</v>
      </c>
      <c r="H80" s="185">
        <v>35</v>
      </c>
      <c r="I80" s="432">
        <v>22</v>
      </c>
      <c r="J80" s="185">
        <v>35</v>
      </c>
      <c r="K80" s="156">
        <v>35</v>
      </c>
      <c r="L80" s="399">
        <v>20</v>
      </c>
      <c r="M80" s="339">
        <v>35</v>
      </c>
      <c r="N80" s="156">
        <v>0</v>
      </c>
      <c r="O80" s="264" t="s">
        <v>353</v>
      </c>
      <c r="P80" s="264"/>
      <c r="Q80" s="264"/>
      <c r="R80" s="264"/>
      <c r="S80" s="264"/>
      <c r="T80" s="264"/>
      <c r="U80" s="264"/>
      <c r="V80" s="264"/>
      <c r="W80" s="2">
        <v>27</v>
      </c>
      <c r="X80" s="407" t="s">
        <v>21</v>
      </c>
      <c r="Y80" s="413">
        <f t="shared" si="7"/>
        <v>14.2</v>
      </c>
      <c r="Z80" s="443">
        <v>18</v>
      </c>
      <c r="AA80" s="185">
        <v>25</v>
      </c>
      <c r="AB80" s="372">
        <v>0</v>
      </c>
      <c r="AC80" s="372">
        <v>0</v>
      </c>
      <c r="AD80" s="185">
        <v>33</v>
      </c>
      <c r="AE80" s="185">
        <v>18</v>
      </c>
      <c r="AF80" s="174">
        <v>0</v>
      </c>
      <c r="AG80" s="399">
        <v>30</v>
      </c>
      <c r="AH80" s="352">
        <v>18</v>
      </c>
      <c r="AI80" s="171">
        <v>0</v>
      </c>
      <c r="AJ80" s="274" t="s">
        <v>351</v>
      </c>
      <c r="AK80" s="272"/>
      <c r="AL80" s="272"/>
      <c r="AM80" s="272"/>
      <c r="AN80" s="272"/>
      <c r="AO80" s="272"/>
      <c r="AP80" s="272"/>
      <c r="AQ80" s="272"/>
    </row>
    <row r="81" spans="2:43" ht="18" customHeight="1" x14ac:dyDescent="0.3">
      <c r="B81" s="1">
        <v>14</v>
      </c>
      <c r="C81" s="407" t="s">
        <v>16</v>
      </c>
      <c r="D81" s="413">
        <f t="shared" si="6"/>
        <v>35</v>
      </c>
      <c r="E81" s="434">
        <v>35</v>
      </c>
      <c r="F81" s="185">
        <v>35</v>
      </c>
      <c r="G81" s="185">
        <v>35</v>
      </c>
      <c r="H81" s="185">
        <v>35</v>
      </c>
      <c r="I81" s="185">
        <v>35</v>
      </c>
      <c r="J81" s="185">
        <v>35</v>
      </c>
      <c r="K81" s="156">
        <v>35</v>
      </c>
      <c r="L81" s="399">
        <v>35</v>
      </c>
      <c r="M81" s="339">
        <v>35</v>
      </c>
      <c r="N81" s="156">
        <v>35</v>
      </c>
      <c r="O81" s="264" t="s">
        <v>351</v>
      </c>
      <c r="P81" s="264"/>
      <c r="Q81" s="264"/>
      <c r="R81" s="264"/>
      <c r="S81" s="264"/>
      <c r="T81" s="264"/>
      <c r="U81" s="264"/>
      <c r="V81" s="264"/>
      <c r="W81" s="2">
        <v>28</v>
      </c>
      <c r="X81" s="410" t="s">
        <v>64</v>
      </c>
      <c r="Y81" s="413">
        <f t="shared" si="7"/>
        <v>26.4</v>
      </c>
      <c r="Z81" s="444">
        <v>25</v>
      </c>
      <c r="AA81" s="373">
        <v>35</v>
      </c>
      <c r="AB81" s="373">
        <v>28</v>
      </c>
      <c r="AC81" s="373">
        <v>35</v>
      </c>
      <c r="AD81" s="373">
        <v>30</v>
      </c>
      <c r="AE81" s="373">
        <v>28</v>
      </c>
      <c r="AF81" s="404">
        <v>0</v>
      </c>
      <c r="AG81" s="401">
        <v>30</v>
      </c>
      <c r="AH81" s="363">
        <v>33</v>
      </c>
      <c r="AI81" s="360">
        <v>20</v>
      </c>
      <c r="AJ81" s="292" t="s">
        <v>353</v>
      </c>
      <c r="AK81" s="293"/>
      <c r="AL81" s="293"/>
      <c r="AM81" s="293"/>
      <c r="AN81" s="293"/>
      <c r="AO81" s="293"/>
      <c r="AP81" s="293"/>
      <c r="AQ81" s="293"/>
    </row>
    <row r="82" spans="2:43" ht="18" customHeight="1" x14ac:dyDescent="0.3">
      <c r="C82" s="73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301">
        <v>29</v>
      </c>
      <c r="X82" s="411" t="s">
        <v>305</v>
      </c>
      <c r="Y82" s="413">
        <f t="shared" si="7"/>
        <v>14.9</v>
      </c>
      <c r="Z82" s="445"/>
      <c r="AA82" s="368"/>
      <c r="AB82" s="368"/>
      <c r="AC82" s="368"/>
      <c r="AD82" s="368">
        <v>30</v>
      </c>
      <c r="AE82" s="368">
        <v>13</v>
      </c>
      <c r="AF82" s="365">
        <v>28</v>
      </c>
      <c r="AG82" s="402">
        <v>30</v>
      </c>
      <c r="AH82" s="352">
        <v>18</v>
      </c>
      <c r="AI82" s="365">
        <v>30</v>
      </c>
      <c r="AJ82" s="82" t="s">
        <v>353</v>
      </c>
      <c r="AK82" s="82"/>
      <c r="AL82" s="82"/>
      <c r="AM82" s="82"/>
      <c r="AN82" s="82"/>
      <c r="AO82" s="82"/>
      <c r="AP82" s="82"/>
      <c r="AQ82" s="82"/>
    </row>
    <row r="83" spans="2:43" ht="21" x14ac:dyDescent="0.3">
      <c r="B83" s="757" t="s">
        <v>146</v>
      </c>
      <c r="C83" s="757"/>
      <c r="D83" s="757"/>
      <c r="E83" s="757"/>
      <c r="F83" s="757"/>
      <c r="G83" s="757"/>
      <c r="H83" s="757"/>
      <c r="I83" s="757"/>
      <c r="J83" s="757"/>
      <c r="K83" s="757"/>
      <c r="L83" s="757"/>
      <c r="M83" s="757"/>
      <c r="N83" s="757"/>
      <c r="O83" s="757"/>
      <c r="P83" s="757"/>
      <c r="Q83" s="757"/>
      <c r="R83" s="757"/>
      <c r="S83" s="757"/>
      <c r="T83" s="757"/>
      <c r="U83" s="757"/>
      <c r="V83" s="757"/>
      <c r="W83" s="757"/>
      <c r="X83" s="757"/>
      <c r="Y83" s="757"/>
      <c r="Z83" s="757"/>
      <c r="AA83" s="757"/>
      <c r="AB83" s="757"/>
      <c r="AC83" s="757"/>
      <c r="AD83" s="757"/>
      <c r="AE83" s="757"/>
      <c r="AF83" s="757"/>
      <c r="AG83" s="757"/>
      <c r="AH83" s="757"/>
      <c r="AI83" s="757"/>
      <c r="AJ83" s="757"/>
      <c r="AK83" s="757"/>
      <c r="AL83" s="757"/>
      <c r="AM83" s="757"/>
      <c r="AN83" s="757"/>
      <c r="AO83" s="757"/>
      <c r="AP83" s="757"/>
      <c r="AQ83" s="757"/>
    </row>
    <row r="84" spans="2:43" ht="18" x14ac:dyDescent="0.3">
      <c r="B84" s="758" t="s">
        <v>34</v>
      </c>
      <c r="C84" s="759"/>
      <c r="D84" s="760" t="s">
        <v>1</v>
      </c>
      <c r="E84" s="773" t="s">
        <v>56</v>
      </c>
      <c r="F84" s="773"/>
      <c r="G84" s="773"/>
      <c r="H84" s="773"/>
      <c r="I84" s="773"/>
      <c r="J84" s="773"/>
      <c r="K84" s="773"/>
      <c r="L84" s="773"/>
      <c r="M84" s="773"/>
      <c r="N84" s="773"/>
      <c r="O84" s="773"/>
      <c r="P84" s="773"/>
      <c r="Q84" s="773"/>
      <c r="R84" s="773"/>
      <c r="S84" s="773"/>
      <c r="T84" s="773"/>
      <c r="U84" s="773"/>
      <c r="V84" s="773"/>
      <c r="W84" s="762" t="s">
        <v>34</v>
      </c>
      <c r="X84" s="759"/>
      <c r="Y84" s="760" t="s">
        <v>1</v>
      </c>
      <c r="Z84" s="773" t="s">
        <v>56</v>
      </c>
      <c r="AA84" s="773"/>
      <c r="AB84" s="773"/>
      <c r="AC84" s="773"/>
      <c r="AD84" s="773"/>
      <c r="AE84" s="773"/>
      <c r="AF84" s="773"/>
      <c r="AG84" s="773"/>
      <c r="AH84" s="773"/>
      <c r="AI84" s="773"/>
      <c r="AJ84" s="773"/>
      <c r="AK84" s="773"/>
      <c r="AL84" s="773"/>
      <c r="AM84" s="773"/>
      <c r="AN84" s="773"/>
      <c r="AO84" s="773"/>
      <c r="AP84" s="773"/>
      <c r="AQ84" s="773"/>
    </row>
    <row r="85" spans="2:43" x14ac:dyDescent="0.3">
      <c r="B85" s="758"/>
      <c r="C85" s="759"/>
      <c r="D85" s="760"/>
      <c r="E85" s="70">
        <v>1</v>
      </c>
      <c r="F85" s="95">
        <v>2</v>
      </c>
      <c r="G85" s="95">
        <v>3</v>
      </c>
      <c r="H85" s="95">
        <v>4</v>
      </c>
      <c r="I85" s="95">
        <v>5</v>
      </c>
      <c r="J85" s="95">
        <v>6</v>
      </c>
      <c r="K85" s="95">
        <v>7</v>
      </c>
      <c r="L85" s="95">
        <v>8</v>
      </c>
      <c r="M85" s="95">
        <v>9</v>
      </c>
      <c r="N85" s="95">
        <v>10</v>
      </c>
      <c r="O85" s="95">
        <v>11</v>
      </c>
      <c r="P85" s="95">
        <v>12</v>
      </c>
      <c r="Q85" s="95">
        <v>13</v>
      </c>
      <c r="R85" s="95">
        <v>14</v>
      </c>
      <c r="S85" s="95">
        <v>15</v>
      </c>
      <c r="T85" s="95">
        <v>16</v>
      </c>
      <c r="U85" s="95">
        <v>17</v>
      </c>
      <c r="V85" s="95">
        <v>18</v>
      </c>
      <c r="W85" s="762"/>
      <c r="X85" s="759"/>
      <c r="Y85" s="760"/>
      <c r="Z85" s="70">
        <v>1</v>
      </c>
      <c r="AA85" s="95">
        <v>2</v>
      </c>
      <c r="AB85" s="95">
        <v>3</v>
      </c>
      <c r="AC85" s="95">
        <v>4</v>
      </c>
      <c r="AD85" s="95">
        <v>5</v>
      </c>
      <c r="AE85" s="95">
        <v>6</v>
      </c>
      <c r="AF85" s="95">
        <v>7</v>
      </c>
      <c r="AG85" s="95">
        <v>8</v>
      </c>
      <c r="AH85" s="95">
        <v>9</v>
      </c>
      <c r="AI85" s="95">
        <v>10</v>
      </c>
      <c r="AJ85" s="95">
        <v>11</v>
      </c>
      <c r="AK85" s="72">
        <v>12</v>
      </c>
      <c r="AL85" s="72">
        <v>13</v>
      </c>
      <c r="AM85" s="72">
        <v>14</v>
      </c>
      <c r="AN85" s="72">
        <v>15</v>
      </c>
      <c r="AO85" s="72">
        <v>16</v>
      </c>
      <c r="AP85" s="72">
        <v>17</v>
      </c>
      <c r="AQ85" s="72">
        <v>18</v>
      </c>
    </row>
    <row r="86" spans="2:43" x14ac:dyDescent="0.3">
      <c r="B86" s="758"/>
      <c r="C86" s="759"/>
      <c r="D86" s="760"/>
      <c r="E86" s="763" t="s">
        <v>3</v>
      </c>
      <c r="F86" s="764"/>
      <c r="G86" s="764"/>
      <c r="H86" s="764"/>
      <c r="I86" s="764"/>
      <c r="J86" s="764"/>
      <c r="K86" s="764"/>
      <c r="L86" s="764"/>
      <c r="M86" s="764"/>
      <c r="N86" s="764"/>
      <c r="O86" s="764"/>
      <c r="P86" s="764"/>
      <c r="Q86" s="764"/>
      <c r="R86" s="764"/>
      <c r="S86" s="765"/>
      <c r="T86" s="74"/>
      <c r="U86" s="76"/>
      <c r="V86" s="76"/>
      <c r="W86" s="762"/>
      <c r="X86" s="759"/>
      <c r="Y86" s="760"/>
      <c r="Z86" s="766" t="s">
        <v>3</v>
      </c>
      <c r="AA86" s="766"/>
      <c r="AB86" s="766"/>
      <c r="AC86" s="766"/>
      <c r="AD86" s="766"/>
      <c r="AE86" s="766"/>
      <c r="AF86" s="766"/>
      <c r="AG86" s="766"/>
      <c r="AH86" s="766"/>
      <c r="AI86" s="766"/>
      <c r="AJ86" s="766"/>
      <c r="AK86" s="766"/>
      <c r="AL86" s="766"/>
      <c r="AM86" s="766"/>
      <c r="AN86" s="766"/>
      <c r="AO86" s="77"/>
      <c r="AP86" s="77"/>
      <c r="AQ86" s="77"/>
    </row>
    <row r="87" spans="2:43" x14ac:dyDescent="0.3">
      <c r="B87" s="758"/>
      <c r="C87" s="759"/>
      <c r="D87" s="760"/>
      <c r="E87" s="84"/>
      <c r="F87" s="85"/>
      <c r="G87" s="86"/>
      <c r="H87" s="85"/>
      <c r="I87" s="85"/>
      <c r="J87" s="85"/>
      <c r="K87" s="85"/>
      <c r="L87" s="87"/>
      <c r="M87" s="87"/>
      <c r="N87" s="85"/>
      <c r="O87" s="85"/>
      <c r="P87" s="71"/>
      <c r="Q87" s="71"/>
      <c r="R87" s="71"/>
      <c r="S87" s="71"/>
      <c r="T87" s="71"/>
      <c r="U87" s="71"/>
      <c r="V87" s="71"/>
      <c r="W87" s="762"/>
      <c r="X87" s="759"/>
      <c r="Y87" s="760"/>
      <c r="Z87" s="88"/>
      <c r="AA87" s="92"/>
      <c r="AB87" s="86"/>
      <c r="AC87" s="86"/>
      <c r="AD87" s="92"/>
      <c r="AE87" s="92"/>
      <c r="AF87" s="89"/>
      <c r="AG87" s="86"/>
      <c r="AH87" s="86"/>
      <c r="AI87" s="92"/>
      <c r="AJ87" s="90"/>
      <c r="AK87" s="91"/>
      <c r="AL87" s="91"/>
      <c r="AM87" s="91"/>
      <c r="AN87" s="91"/>
      <c r="AO87" s="91"/>
      <c r="AP87" s="91"/>
      <c r="AQ87" s="91"/>
    </row>
    <row r="88" spans="2:43" ht="151.19999999999999" customHeight="1" x14ac:dyDescent="0.3">
      <c r="B88" s="758"/>
      <c r="C88" s="759"/>
      <c r="D88" s="760"/>
      <c r="E88" s="96" t="s">
        <v>157</v>
      </c>
      <c r="F88" s="297" t="s">
        <v>185</v>
      </c>
      <c r="G88" s="96" t="s">
        <v>304</v>
      </c>
      <c r="H88" s="311" t="s">
        <v>324</v>
      </c>
      <c r="I88" s="151"/>
      <c r="J88" s="151"/>
      <c r="K88" s="96"/>
      <c r="L88" s="96"/>
      <c r="M88" s="96"/>
      <c r="N88" s="96"/>
      <c r="O88" s="96"/>
      <c r="P88" s="96"/>
      <c r="Q88" s="96"/>
      <c r="R88" s="75"/>
      <c r="S88" s="96"/>
      <c r="T88" s="96"/>
      <c r="U88" s="96"/>
      <c r="V88" s="96"/>
      <c r="W88" s="762"/>
      <c r="X88" s="759"/>
      <c r="Y88" s="760"/>
      <c r="Z88" s="96" t="s">
        <v>157</v>
      </c>
      <c r="AA88" s="92" t="s">
        <v>185</v>
      </c>
      <c r="AB88" s="96" t="s">
        <v>304</v>
      </c>
      <c r="AC88" s="311" t="s">
        <v>325</v>
      </c>
      <c r="AD88" s="151"/>
      <c r="AE88" s="151"/>
      <c r="AF88" s="78"/>
      <c r="AG88" s="78"/>
      <c r="AH88" s="78"/>
      <c r="AI88" s="96"/>
      <c r="AJ88" s="96"/>
      <c r="AK88" s="96"/>
      <c r="AL88" s="96"/>
      <c r="AM88" s="75"/>
      <c r="AN88" s="96"/>
      <c r="AO88" s="96"/>
      <c r="AP88" s="96"/>
      <c r="AQ88" s="96"/>
    </row>
    <row r="89" spans="2:43" ht="15.6" x14ac:dyDescent="0.3">
      <c r="B89" s="1">
        <v>1</v>
      </c>
      <c r="C89" s="407" t="s">
        <v>10</v>
      </c>
      <c r="D89" s="413">
        <f>((E89+F89+G89+H89)/4)</f>
        <v>17.5</v>
      </c>
      <c r="E89" s="155">
        <v>20</v>
      </c>
      <c r="F89" s="154">
        <v>0</v>
      </c>
      <c r="G89" s="152">
        <v>30</v>
      </c>
      <c r="H89" s="154">
        <v>20</v>
      </c>
      <c r="I89" s="257"/>
      <c r="J89" s="258"/>
      <c r="K89" s="269"/>
      <c r="L89" s="257"/>
      <c r="M89" s="257"/>
      <c r="N89" s="257"/>
      <c r="O89" s="275"/>
      <c r="P89" s="259"/>
      <c r="Q89" s="259"/>
      <c r="R89" s="259"/>
      <c r="S89" s="259"/>
      <c r="T89" s="259"/>
      <c r="U89" s="259"/>
      <c r="V89" s="259"/>
      <c r="W89" s="2">
        <v>15</v>
      </c>
      <c r="X89" s="407" t="s">
        <v>17</v>
      </c>
      <c r="Y89" s="413">
        <f>((Z89+AA89+AB89+AC89)/4)</f>
        <v>19.25</v>
      </c>
      <c r="Z89" s="172">
        <v>0</v>
      </c>
      <c r="AA89" s="152">
        <v>20</v>
      </c>
      <c r="AB89" s="152">
        <v>35</v>
      </c>
      <c r="AC89" s="154">
        <v>22</v>
      </c>
      <c r="AD89" s="257"/>
      <c r="AE89" s="257"/>
      <c r="AF89" s="269"/>
      <c r="AG89" s="257"/>
      <c r="AH89" s="257"/>
      <c r="AI89" s="257"/>
      <c r="AJ89" s="278"/>
      <c r="AK89" s="257"/>
      <c r="AL89" s="257"/>
      <c r="AM89" s="279"/>
      <c r="AN89" s="279"/>
      <c r="AO89" s="270"/>
      <c r="AP89" s="270"/>
      <c r="AQ89" s="270"/>
    </row>
    <row r="90" spans="2:43" ht="15.6" x14ac:dyDescent="0.3">
      <c r="B90" s="1">
        <v>2</v>
      </c>
      <c r="C90" s="406" t="s">
        <v>22</v>
      </c>
      <c r="D90" s="413">
        <f t="shared" ref="D90:D102" si="8">((E90+F90+G90+H90)/4)</f>
        <v>32.75</v>
      </c>
      <c r="E90" s="155">
        <v>33</v>
      </c>
      <c r="F90" s="156">
        <v>35</v>
      </c>
      <c r="G90" s="152">
        <v>33</v>
      </c>
      <c r="H90" s="152">
        <v>30</v>
      </c>
      <c r="I90" s="261"/>
      <c r="J90" s="262"/>
      <c r="K90" s="261"/>
      <c r="L90" s="261"/>
      <c r="M90" s="261"/>
      <c r="N90" s="261"/>
      <c r="O90" s="276"/>
      <c r="P90" s="264"/>
      <c r="Q90" s="264"/>
      <c r="R90" s="264"/>
      <c r="S90" s="264"/>
      <c r="T90" s="264"/>
      <c r="U90" s="264"/>
      <c r="V90" s="264"/>
      <c r="W90" s="2">
        <v>16</v>
      </c>
      <c r="X90" s="407" t="s">
        <v>27</v>
      </c>
      <c r="Y90" s="413">
        <f t="shared" ref="Y90:Y103" si="9">((Z90+AA90+AB90+AC90)/4)</f>
        <v>25.75</v>
      </c>
      <c r="Z90" s="164">
        <v>33</v>
      </c>
      <c r="AA90" s="157">
        <v>0</v>
      </c>
      <c r="AB90" s="156">
        <v>35</v>
      </c>
      <c r="AC90" s="157">
        <v>35</v>
      </c>
      <c r="AD90" s="261"/>
      <c r="AE90" s="261"/>
      <c r="AF90" s="261"/>
      <c r="AG90" s="261"/>
      <c r="AH90" s="261"/>
      <c r="AI90" s="261"/>
      <c r="AJ90" s="263"/>
      <c r="AK90" s="261"/>
      <c r="AL90" s="280"/>
      <c r="AM90" s="280"/>
      <c r="AN90" s="280"/>
      <c r="AO90" s="272"/>
      <c r="AP90" s="272"/>
      <c r="AQ90" s="272"/>
    </row>
    <row r="91" spans="2:43" ht="15.6" x14ac:dyDescent="0.3">
      <c r="B91" s="1">
        <v>3</v>
      </c>
      <c r="C91" s="407" t="s">
        <v>12</v>
      </c>
      <c r="D91" s="413">
        <f t="shared" si="8"/>
        <v>33.25</v>
      </c>
      <c r="E91" s="155">
        <v>33</v>
      </c>
      <c r="F91" s="156">
        <v>35</v>
      </c>
      <c r="G91" s="152">
        <v>30</v>
      </c>
      <c r="H91" s="154">
        <v>35</v>
      </c>
      <c r="I91" s="261"/>
      <c r="J91" s="261"/>
      <c r="K91" s="261"/>
      <c r="L91" s="261"/>
      <c r="M91" s="257"/>
      <c r="N91" s="261"/>
      <c r="O91" s="276"/>
      <c r="P91" s="264"/>
      <c r="Q91" s="264"/>
      <c r="R91" s="264"/>
      <c r="S91" s="264"/>
      <c r="T91" s="264"/>
      <c r="U91" s="264"/>
      <c r="V91" s="264"/>
      <c r="W91" s="1">
        <v>17</v>
      </c>
      <c r="X91" s="407" t="s">
        <v>130</v>
      </c>
      <c r="Y91" s="413">
        <f t="shared" si="9"/>
        <v>34.5</v>
      </c>
      <c r="Z91" s="164">
        <v>33</v>
      </c>
      <c r="AA91" s="156">
        <v>35</v>
      </c>
      <c r="AB91" s="156">
        <v>35</v>
      </c>
      <c r="AC91" s="156">
        <v>35</v>
      </c>
      <c r="AD91" s="261"/>
      <c r="AE91" s="261"/>
      <c r="AF91" s="261"/>
      <c r="AG91" s="261"/>
      <c r="AH91" s="261"/>
      <c r="AI91" s="261"/>
      <c r="AJ91" s="263"/>
      <c r="AK91" s="280"/>
      <c r="AL91" s="280"/>
      <c r="AM91" s="280"/>
      <c r="AN91" s="280"/>
      <c r="AO91" s="272"/>
      <c r="AP91" s="272"/>
      <c r="AQ91" s="272"/>
    </row>
    <row r="92" spans="2:43" ht="15.6" x14ac:dyDescent="0.3">
      <c r="B92" s="1">
        <v>4</v>
      </c>
      <c r="C92" s="406" t="s">
        <v>23</v>
      </c>
      <c r="D92" s="413">
        <f t="shared" si="8"/>
        <v>24.5</v>
      </c>
      <c r="E92" s="155">
        <v>33</v>
      </c>
      <c r="F92" s="156">
        <v>30</v>
      </c>
      <c r="G92" s="152">
        <v>0</v>
      </c>
      <c r="H92" s="154">
        <v>35</v>
      </c>
      <c r="I92" s="261"/>
      <c r="J92" s="261"/>
      <c r="K92" s="261"/>
      <c r="L92" s="261"/>
      <c r="M92" s="261"/>
      <c r="N92" s="265"/>
      <c r="O92" s="277"/>
      <c r="P92" s="265"/>
      <c r="Q92" s="265"/>
      <c r="R92" s="265"/>
      <c r="S92" s="265"/>
      <c r="T92" s="265"/>
      <c r="U92" s="265"/>
      <c r="V92" s="265"/>
      <c r="W92" s="2">
        <v>18</v>
      </c>
      <c r="X92" s="407" t="s">
        <v>28</v>
      </c>
      <c r="Y92" s="413">
        <f t="shared" si="9"/>
        <v>34.5</v>
      </c>
      <c r="Z92" s="164">
        <v>35</v>
      </c>
      <c r="AA92" s="156">
        <v>33</v>
      </c>
      <c r="AB92" s="156">
        <v>35</v>
      </c>
      <c r="AC92" s="157">
        <v>35</v>
      </c>
      <c r="AD92" s="261"/>
      <c r="AE92" s="261"/>
      <c r="AF92" s="261"/>
      <c r="AG92" s="261"/>
      <c r="AH92" s="261"/>
      <c r="AI92" s="261"/>
      <c r="AJ92" s="263"/>
      <c r="AK92" s="261"/>
      <c r="AL92" s="261"/>
      <c r="AM92" s="280"/>
      <c r="AN92" s="280"/>
      <c r="AO92" s="272"/>
      <c r="AP92" s="272"/>
      <c r="AQ92" s="272"/>
    </row>
    <row r="93" spans="2:43" ht="15.6" x14ac:dyDescent="0.3">
      <c r="B93" s="1">
        <v>5</v>
      </c>
      <c r="C93" s="407" t="s">
        <v>13</v>
      </c>
      <c r="D93" s="413">
        <f t="shared" si="8"/>
        <v>22.75</v>
      </c>
      <c r="E93" s="155">
        <v>33</v>
      </c>
      <c r="F93" s="156">
        <v>25</v>
      </c>
      <c r="G93" s="154">
        <v>33</v>
      </c>
      <c r="H93" s="154"/>
      <c r="I93" s="261"/>
      <c r="J93" s="261"/>
      <c r="K93" s="261"/>
      <c r="L93" s="261"/>
      <c r="M93" s="257"/>
      <c r="N93" s="261"/>
      <c r="O93" s="276"/>
      <c r="P93" s="264"/>
      <c r="Q93" s="264"/>
      <c r="R93" s="264"/>
      <c r="S93" s="264"/>
      <c r="T93" s="264"/>
      <c r="U93" s="264"/>
      <c r="V93" s="264"/>
      <c r="W93" s="2">
        <v>19</v>
      </c>
      <c r="X93" s="408" t="s">
        <v>29</v>
      </c>
      <c r="Y93" s="413">
        <f t="shared" si="9"/>
        <v>13.75</v>
      </c>
      <c r="Z93" s="164">
        <v>30</v>
      </c>
      <c r="AA93" s="156">
        <v>25</v>
      </c>
      <c r="AB93" s="157">
        <v>0</v>
      </c>
      <c r="AC93" s="157"/>
      <c r="AD93" s="261"/>
      <c r="AE93" s="262"/>
      <c r="AF93" s="261"/>
      <c r="AG93" s="261"/>
      <c r="AH93" s="261"/>
      <c r="AI93" s="261"/>
      <c r="AJ93" s="263"/>
      <c r="AK93" s="280"/>
      <c r="AL93" s="280"/>
      <c r="AM93" s="280"/>
      <c r="AN93" s="280"/>
      <c r="AO93" s="272"/>
      <c r="AP93" s="272"/>
      <c r="AQ93" s="272"/>
    </row>
    <row r="94" spans="2:43" ht="15.6" x14ac:dyDescent="0.3">
      <c r="B94" s="1">
        <v>6</v>
      </c>
      <c r="C94" s="407" t="s">
        <v>52</v>
      </c>
      <c r="D94" s="413">
        <f t="shared" si="8"/>
        <v>31.25</v>
      </c>
      <c r="E94" s="155">
        <v>34</v>
      </c>
      <c r="F94" s="156">
        <v>35</v>
      </c>
      <c r="G94" s="152">
        <v>28</v>
      </c>
      <c r="H94" s="154">
        <v>28</v>
      </c>
      <c r="I94" s="261"/>
      <c r="J94" s="261"/>
      <c r="K94" s="261"/>
      <c r="L94" s="261"/>
      <c r="M94" s="261"/>
      <c r="N94" s="261"/>
      <c r="O94" s="276"/>
      <c r="P94" s="264"/>
      <c r="Q94" s="264"/>
      <c r="R94" s="264"/>
      <c r="S94" s="264"/>
      <c r="T94" s="264"/>
      <c r="U94" s="264"/>
      <c r="V94" s="264"/>
      <c r="W94" s="1">
        <v>20</v>
      </c>
      <c r="X94" s="407" t="s">
        <v>18</v>
      </c>
      <c r="Y94" s="413">
        <f t="shared" si="9"/>
        <v>33.5</v>
      </c>
      <c r="Z94" s="164">
        <v>34</v>
      </c>
      <c r="AA94" s="156">
        <v>35</v>
      </c>
      <c r="AB94" s="156">
        <v>35</v>
      </c>
      <c r="AC94" s="156">
        <v>30</v>
      </c>
      <c r="AD94" s="261"/>
      <c r="AE94" s="261"/>
      <c r="AF94" s="261"/>
      <c r="AG94" s="261"/>
      <c r="AH94" s="261"/>
      <c r="AI94" s="261"/>
      <c r="AJ94" s="263"/>
      <c r="AK94" s="280"/>
      <c r="AL94" s="280"/>
      <c r="AM94" s="280"/>
      <c r="AN94" s="280"/>
      <c r="AO94" s="272"/>
      <c r="AP94" s="272"/>
      <c r="AQ94" s="272"/>
    </row>
    <row r="95" spans="2:43" ht="15.6" x14ac:dyDescent="0.3">
      <c r="B95" s="1">
        <v>7</v>
      </c>
      <c r="C95" s="407" t="s">
        <v>24</v>
      </c>
      <c r="D95" s="413">
        <f t="shared" si="8"/>
        <v>14.5</v>
      </c>
      <c r="E95" s="155">
        <v>30</v>
      </c>
      <c r="F95" s="157">
        <v>0</v>
      </c>
      <c r="G95" s="152">
        <v>0</v>
      </c>
      <c r="H95" s="152">
        <v>28</v>
      </c>
      <c r="I95" s="261"/>
      <c r="J95" s="261"/>
      <c r="K95" s="261"/>
      <c r="L95" s="261"/>
      <c r="M95" s="257"/>
      <c r="N95" s="261"/>
      <c r="O95" s="276"/>
      <c r="P95" s="264"/>
      <c r="Q95" s="264"/>
      <c r="R95" s="264"/>
      <c r="S95" s="264"/>
      <c r="T95" s="264"/>
      <c r="U95" s="264"/>
      <c r="V95" s="264"/>
      <c r="W95" s="2">
        <v>21</v>
      </c>
      <c r="X95" s="418" t="s">
        <v>32</v>
      </c>
      <c r="Y95" s="413">
        <f t="shared" si="9"/>
        <v>0</v>
      </c>
      <c r="Z95" s="179">
        <v>0</v>
      </c>
      <c r="AA95" s="157">
        <v>0</v>
      </c>
      <c r="AB95" s="157">
        <v>0</v>
      </c>
      <c r="AC95" s="157"/>
      <c r="AD95" s="261"/>
      <c r="AE95" s="261"/>
      <c r="AF95" s="261"/>
      <c r="AG95" s="261"/>
      <c r="AH95" s="261"/>
      <c r="AI95" s="261"/>
      <c r="AJ95" s="263"/>
      <c r="AK95" s="280"/>
      <c r="AL95" s="280"/>
      <c r="AM95" s="280"/>
      <c r="AN95" s="280"/>
      <c r="AO95" s="272"/>
      <c r="AP95" s="272"/>
      <c r="AQ95" s="272"/>
    </row>
    <row r="96" spans="2:43" ht="15.6" x14ac:dyDescent="0.3">
      <c r="B96" s="1">
        <v>8</v>
      </c>
      <c r="C96" s="407" t="s">
        <v>14</v>
      </c>
      <c r="D96" s="413">
        <f t="shared" si="8"/>
        <v>33.25</v>
      </c>
      <c r="E96" s="160">
        <v>33</v>
      </c>
      <c r="F96" s="157">
        <v>30</v>
      </c>
      <c r="G96" s="152">
        <v>35</v>
      </c>
      <c r="H96" s="152">
        <v>35</v>
      </c>
      <c r="I96" s="261"/>
      <c r="J96" s="266"/>
      <c r="K96" s="261"/>
      <c r="L96" s="261"/>
      <c r="M96" s="261"/>
      <c r="N96" s="261"/>
      <c r="O96" s="276"/>
      <c r="P96" s="264"/>
      <c r="Q96" s="264"/>
      <c r="R96" s="264"/>
      <c r="S96" s="264"/>
      <c r="T96" s="264"/>
      <c r="U96" s="264"/>
      <c r="V96" s="264"/>
      <c r="W96" s="2">
        <v>22</v>
      </c>
      <c r="X96" s="407" t="s">
        <v>30</v>
      </c>
      <c r="Y96" s="413">
        <f t="shared" si="9"/>
        <v>11.25</v>
      </c>
      <c r="Z96" s="164">
        <v>30</v>
      </c>
      <c r="AA96" s="156">
        <v>15</v>
      </c>
      <c r="AB96" s="156">
        <v>0</v>
      </c>
      <c r="AC96" s="157"/>
      <c r="AD96" s="261"/>
      <c r="AE96" s="261"/>
      <c r="AF96" s="261"/>
      <c r="AG96" s="261"/>
      <c r="AH96" s="261"/>
      <c r="AI96" s="261"/>
      <c r="AJ96" s="263"/>
      <c r="AK96" s="280"/>
      <c r="AL96" s="280"/>
      <c r="AM96" s="280"/>
      <c r="AN96" s="280"/>
      <c r="AO96" s="272"/>
      <c r="AP96" s="272"/>
      <c r="AQ96" s="272"/>
    </row>
    <row r="97" spans="2:43" ht="15.6" x14ac:dyDescent="0.3">
      <c r="B97" s="1">
        <v>9</v>
      </c>
      <c r="C97" s="407" t="s">
        <v>51</v>
      </c>
      <c r="D97" s="413">
        <f t="shared" si="8"/>
        <v>31.25</v>
      </c>
      <c r="E97" s="160">
        <v>30</v>
      </c>
      <c r="F97" s="157">
        <v>30</v>
      </c>
      <c r="G97" s="152">
        <v>30</v>
      </c>
      <c r="H97" s="154">
        <v>35</v>
      </c>
      <c r="I97" s="261"/>
      <c r="J97" s="262"/>
      <c r="K97" s="261"/>
      <c r="L97" s="261"/>
      <c r="M97" s="257"/>
      <c r="N97" s="261"/>
      <c r="O97" s="276"/>
      <c r="P97" s="264"/>
      <c r="Q97" s="264"/>
      <c r="R97" s="264"/>
      <c r="S97" s="264"/>
      <c r="T97" s="264"/>
      <c r="U97" s="264"/>
      <c r="V97" s="264"/>
      <c r="W97" s="1">
        <v>23</v>
      </c>
      <c r="X97" s="407" t="s">
        <v>19</v>
      </c>
      <c r="Y97" s="413">
        <f t="shared" si="9"/>
        <v>24.5</v>
      </c>
      <c r="Z97" s="164">
        <v>33</v>
      </c>
      <c r="AA97" s="157">
        <v>30</v>
      </c>
      <c r="AB97" s="156">
        <v>0</v>
      </c>
      <c r="AC97" s="157">
        <v>35</v>
      </c>
      <c r="AD97" s="261"/>
      <c r="AE97" s="261"/>
      <c r="AF97" s="261"/>
      <c r="AG97" s="261"/>
      <c r="AH97" s="261"/>
      <c r="AI97" s="261"/>
      <c r="AJ97" s="263"/>
      <c r="AK97" s="280"/>
      <c r="AL97" s="280"/>
      <c r="AM97" s="280"/>
      <c r="AN97" s="280"/>
      <c r="AO97" s="272"/>
      <c r="AP97" s="272"/>
      <c r="AQ97" s="272"/>
    </row>
    <row r="98" spans="2:43" ht="23.4" x14ac:dyDescent="0.3">
      <c r="B98" s="1">
        <v>10</v>
      </c>
      <c r="C98" s="407" t="s">
        <v>62</v>
      </c>
      <c r="D98" s="413">
        <f t="shared" si="8"/>
        <v>15</v>
      </c>
      <c r="E98" s="155">
        <v>35</v>
      </c>
      <c r="F98" s="156">
        <v>25</v>
      </c>
      <c r="G98" s="152">
        <v>0</v>
      </c>
      <c r="H98" s="154"/>
      <c r="I98" s="261"/>
      <c r="J98" s="262"/>
      <c r="K98" s="261"/>
      <c r="L98" s="261"/>
      <c r="M98" s="257"/>
      <c r="N98" s="261"/>
      <c r="O98" s="276"/>
      <c r="P98" s="264"/>
      <c r="Q98" s="264"/>
      <c r="R98" s="264"/>
      <c r="S98" s="264"/>
      <c r="T98" s="264"/>
      <c r="U98" s="264"/>
      <c r="V98" s="264"/>
      <c r="W98" s="2">
        <v>24</v>
      </c>
      <c r="X98" s="407" t="s">
        <v>33</v>
      </c>
      <c r="Y98" s="413">
        <f t="shared" si="9"/>
        <v>0</v>
      </c>
      <c r="Z98" s="172">
        <v>0</v>
      </c>
      <c r="AA98" s="154">
        <v>0</v>
      </c>
      <c r="AB98" s="157">
        <v>0</v>
      </c>
      <c r="AC98" s="157"/>
      <c r="AD98" s="261"/>
      <c r="AE98" s="262"/>
      <c r="AF98" s="261"/>
      <c r="AG98" s="261"/>
      <c r="AH98" s="261"/>
      <c r="AI98" s="261"/>
      <c r="AJ98" s="263"/>
      <c r="AK98" s="280"/>
      <c r="AL98" s="280"/>
      <c r="AM98" s="280"/>
      <c r="AN98" s="280"/>
      <c r="AO98" s="272"/>
      <c r="AP98" s="272"/>
      <c r="AQ98" s="272"/>
    </row>
    <row r="99" spans="2:43" ht="15.6" x14ac:dyDescent="0.3">
      <c r="B99" s="1">
        <v>11</v>
      </c>
      <c r="C99" s="407" t="s">
        <v>25</v>
      </c>
      <c r="D99" s="413">
        <f t="shared" si="8"/>
        <v>23.75</v>
      </c>
      <c r="E99" s="155">
        <v>32</v>
      </c>
      <c r="F99" s="157">
        <v>0</v>
      </c>
      <c r="G99" s="152">
        <v>30</v>
      </c>
      <c r="H99" s="154">
        <v>33</v>
      </c>
      <c r="I99" s="261"/>
      <c r="J99" s="262"/>
      <c r="K99" s="261"/>
      <c r="L99" s="261"/>
      <c r="M99" s="261"/>
      <c r="N99" s="261"/>
      <c r="O99" s="276"/>
      <c r="P99" s="264"/>
      <c r="Q99" s="264"/>
      <c r="R99" s="264"/>
      <c r="S99" s="264"/>
      <c r="T99" s="264"/>
      <c r="U99" s="264"/>
      <c r="V99" s="264"/>
      <c r="W99" s="2">
        <v>25</v>
      </c>
      <c r="X99" s="407" t="s">
        <v>20</v>
      </c>
      <c r="Y99" s="413">
        <f t="shared" si="9"/>
        <v>32</v>
      </c>
      <c r="Z99" s="168">
        <v>33</v>
      </c>
      <c r="AA99" s="156">
        <v>30</v>
      </c>
      <c r="AB99" s="174">
        <v>35</v>
      </c>
      <c r="AC99" s="157">
        <v>30</v>
      </c>
      <c r="AD99" s="261"/>
      <c r="AE99" s="261"/>
      <c r="AF99" s="261"/>
      <c r="AG99" s="261"/>
      <c r="AH99" s="261"/>
      <c r="AI99" s="261"/>
      <c r="AJ99" s="263"/>
      <c r="AK99" s="280"/>
      <c r="AL99" s="280"/>
      <c r="AM99" s="280"/>
      <c r="AN99" s="280"/>
      <c r="AO99" s="272"/>
      <c r="AP99" s="272"/>
      <c r="AQ99" s="272"/>
    </row>
    <row r="100" spans="2:43" ht="15.6" x14ac:dyDescent="0.3">
      <c r="B100" s="1">
        <v>12</v>
      </c>
      <c r="C100" s="407" t="s">
        <v>15</v>
      </c>
      <c r="D100" s="413">
        <f t="shared" si="8"/>
        <v>16.25</v>
      </c>
      <c r="E100" s="155">
        <v>30</v>
      </c>
      <c r="F100" s="156">
        <v>35</v>
      </c>
      <c r="G100" s="152">
        <v>0</v>
      </c>
      <c r="H100" s="154"/>
      <c r="I100" s="261"/>
      <c r="J100" s="261"/>
      <c r="K100" s="261"/>
      <c r="L100" s="261"/>
      <c r="M100" s="257"/>
      <c r="N100" s="261"/>
      <c r="O100" s="276"/>
      <c r="P100" s="264"/>
      <c r="Q100" s="264"/>
      <c r="R100" s="264"/>
      <c r="S100" s="264"/>
      <c r="T100" s="264"/>
      <c r="U100" s="264"/>
      <c r="V100" s="264"/>
      <c r="W100" s="1">
        <v>26</v>
      </c>
      <c r="X100" s="407" t="s">
        <v>31</v>
      </c>
      <c r="Y100" s="413">
        <f t="shared" si="9"/>
        <v>24.5</v>
      </c>
      <c r="Z100" s="168">
        <v>33</v>
      </c>
      <c r="AA100" s="156">
        <v>30</v>
      </c>
      <c r="AB100" s="156">
        <v>0</v>
      </c>
      <c r="AC100" s="157">
        <v>35</v>
      </c>
      <c r="AD100" s="261"/>
      <c r="AE100" s="262"/>
      <c r="AF100" s="261"/>
      <c r="AG100" s="261"/>
      <c r="AH100" s="261"/>
      <c r="AI100" s="261"/>
      <c r="AJ100" s="263"/>
      <c r="AK100" s="261"/>
      <c r="AL100" s="261"/>
      <c r="AM100" s="280"/>
      <c r="AN100" s="280"/>
      <c r="AO100" s="272"/>
      <c r="AP100" s="272"/>
      <c r="AQ100" s="272"/>
    </row>
    <row r="101" spans="2:43" ht="16.2" thickBot="1" x14ac:dyDescent="0.35">
      <c r="B101" s="1">
        <v>13</v>
      </c>
      <c r="C101" s="407" t="s">
        <v>26</v>
      </c>
      <c r="D101" s="413">
        <f t="shared" si="8"/>
        <v>21.75</v>
      </c>
      <c r="E101" s="160">
        <v>34</v>
      </c>
      <c r="F101" s="156">
        <v>25</v>
      </c>
      <c r="G101" s="156">
        <v>0</v>
      </c>
      <c r="H101" s="157">
        <v>28</v>
      </c>
      <c r="I101" s="261"/>
      <c r="J101" s="262"/>
      <c r="K101" s="261"/>
      <c r="L101" s="261"/>
      <c r="M101" s="261"/>
      <c r="N101" s="261"/>
      <c r="O101" s="264"/>
      <c r="P101" s="264"/>
      <c r="Q101" s="264"/>
      <c r="R101" s="264"/>
      <c r="S101" s="264"/>
      <c r="T101" s="264"/>
      <c r="U101" s="264"/>
      <c r="V101" s="264"/>
      <c r="W101" s="2">
        <v>27</v>
      </c>
      <c r="X101" s="407" t="s">
        <v>21</v>
      </c>
      <c r="Y101" s="413">
        <f t="shared" si="9"/>
        <v>28.5</v>
      </c>
      <c r="Z101" s="169">
        <v>24</v>
      </c>
      <c r="AA101" s="156">
        <v>25</v>
      </c>
      <c r="AB101" s="157">
        <v>35</v>
      </c>
      <c r="AC101" s="157">
        <v>30</v>
      </c>
      <c r="AD101" s="261"/>
      <c r="AE101" s="261"/>
      <c r="AF101" s="283"/>
      <c r="AG101" s="261"/>
      <c r="AH101" s="274"/>
      <c r="AI101" s="274"/>
      <c r="AJ101" s="274"/>
      <c r="AK101" s="272"/>
      <c r="AL101" s="272"/>
      <c r="AM101" s="272"/>
      <c r="AN101" s="272"/>
      <c r="AO101" s="272"/>
      <c r="AP101" s="272"/>
      <c r="AQ101" s="272"/>
    </row>
    <row r="102" spans="2:43" ht="23.4" x14ac:dyDescent="0.3">
      <c r="B102" s="1">
        <v>14</v>
      </c>
      <c r="C102" s="407" t="s">
        <v>16</v>
      </c>
      <c r="D102" s="413">
        <f t="shared" si="8"/>
        <v>35</v>
      </c>
      <c r="E102" s="160">
        <v>35</v>
      </c>
      <c r="F102" s="156">
        <v>35</v>
      </c>
      <c r="G102" s="156">
        <v>35</v>
      </c>
      <c r="H102" s="157">
        <v>35</v>
      </c>
      <c r="I102" s="261"/>
      <c r="J102" s="261"/>
      <c r="K102" s="261"/>
      <c r="L102" s="261"/>
      <c r="M102" s="261"/>
      <c r="N102" s="261"/>
      <c r="O102" s="264"/>
      <c r="P102" s="264"/>
      <c r="Q102" s="264"/>
      <c r="R102" s="264"/>
      <c r="S102" s="264"/>
      <c r="T102" s="264"/>
      <c r="U102" s="264"/>
      <c r="V102" s="264"/>
      <c r="W102" s="2">
        <v>28</v>
      </c>
      <c r="X102" s="410" t="s">
        <v>63</v>
      </c>
      <c r="Y102" s="413">
        <f t="shared" si="9"/>
        <v>34.5</v>
      </c>
      <c r="Z102" s="358">
        <v>33</v>
      </c>
      <c r="AA102" s="359">
        <v>35</v>
      </c>
      <c r="AB102" s="359">
        <v>35</v>
      </c>
      <c r="AC102" s="416">
        <v>35</v>
      </c>
      <c r="AD102" s="291"/>
      <c r="AE102" s="291"/>
      <c r="AF102" s="295"/>
      <c r="AG102" s="291"/>
      <c r="AH102" s="292"/>
      <c r="AI102" s="292"/>
      <c r="AJ102" s="292"/>
      <c r="AK102" s="293"/>
      <c r="AL102" s="293"/>
      <c r="AM102" s="293"/>
      <c r="AN102" s="293"/>
      <c r="AO102" s="293"/>
      <c r="AP102" s="293"/>
      <c r="AQ102" s="293"/>
    </row>
    <row r="103" spans="2:43" ht="20.399999999999999" x14ac:dyDescent="0.3">
      <c r="C103" s="73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X103" s="421" t="s">
        <v>305</v>
      </c>
      <c r="Y103" s="413">
        <f t="shared" si="9"/>
        <v>8.75</v>
      </c>
      <c r="Z103" s="420"/>
      <c r="AA103" s="72"/>
      <c r="AB103" s="72">
        <v>35</v>
      </c>
      <c r="AC103" s="72"/>
      <c r="AD103" s="274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</row>
    <row r="104" spans="2:43" ht="21" x14ac:dyDescent="0.3">
      <c r="B104" s="757" t="s">
        <v>146</v>
      </c>
      <c r="C104" s="757"/>
      <c r="D104" s="757"/>
      <c r="E104" s="757"/>
      <c r="F104" s="757"/>
      <c r="G104" s="757"/>
      <c r="H104" s="757"/>
      <c r="I104" s="757"/>
      <c r="J104" s="757"/>
      <c r="K104" s="757"/>
      <c r="L104" s="757"/>
      <c r="M104" s="757"/>
      <c r="N104" s="757"/>
      <c r="O104" s="757"/>
      <c r="P104" s="757"/>
      <c r="Q104" s="757"/>
      <c r="R104" s="757"/>
      <c r="S104" s="757"/>
      <c r="T104" s="757"/>
      <c r="U104" s="757"/>
      <c r="V104" s="757"/>
      <c r="W104" s="757"/>
      <c r="X104" s="757"/>
      <c r="Y104" s="757"/>
      <c r="Z104" s="757"/>
      <c r="AA104" s="757"/>
      <c r="AB104" s="757"/>
      <c r="AC104" s="757"/>
      <c r="AD104" s="757"/>
      <c r="AE104" s="757"/>
      <c r="AF104" s="757"/>
      <c r="AG104" s="757"/>
      <c r="AH104" s="757"/>
      <c r="AI104" s="757"/>
      <c r="AJ104" s="757"/>
      <c r="AK104" s="757"/>
      <c r="AL104" s="757"/>
      <c r="AM104" s="757"/>
      <c r="AN104" s="757"/>
      <c r="AO104" s="757"/>
      <c r="AP104" s="757"/>
      <c r="AQ104" s="757"/>
    </row>
    <row r="105" spans="2:43" ht="18" x14ac:dyDescent="0.3">
      <c r="B105" s="758" t="s">
        <v>34</v>
      </c>
      <c r="C105" s="759"/>
      <c r="D105" s="760" t="s">
        <v>1</v>
      </c>
      <c r="E105" s="761" t="s">
        <v>57</v>
      </c>
      <c r="F105" s="761"/>
      <c r="G105" s="761"/>
      <c r="H105" s="761"/>
      <c r="I105" s="761"/>
      <c r="J105" s="761"/>
      <c r="K105" s="761"/>
      <c r="L105" s="761"/>
      <c r="M105" s="761"/>
      <c r="N105" s="761"/>
      <c r="O105" s="761"/>
      <c r="P105" s="761"/>
      <c r="Q105" s="761"/>
      <c r="R105" s="761"/>
      <c r="S105" s="761"/>
      <c r="T105" s="761"/>
      <c r="U105" s="761"/>
      <c r="V105" s="761"/>
      <c r="W105" s="762" t="s">
        <v>34</v>
      </c>
      <c r="X105" s="759"/>
      <c r="Y105" s="760" t="s">
        <v>1</v>
      </c>
      <c r="Z105" s="761" t="s">
        <v>57</v>
      </c>
      <c r="AA105" s="761"/>
      <c r="AB105" s="761"/>
      <c r="AC105" s="761"/>
      <c r="AD105" s="761"/>
      <c r="AE105" s="761"/>
      <c r="AF105" s="761"/>
      <c r="AG105" s="761"/>
      <c r="AH105" s="761"/>
      <c r="AI105" s="761"/>
      <c r="AJ105" s="761"/>
      <c r="AK105" s="761"/>
      <c r="AL105" s="761"/>
      <c r="AM105" s="761"/>
      <c r="AN105" s="761"/>
      <c r="AO105" s="761"/>
      <c r="AP105" s="761"/>
      <c r="AQ105" s="761"/>
    </row>
    <row r="106" spans="2:43" x14ac:dyDescent="0.3">
      <c r="B106" s="758"/>
      <c r="C106" s="759"/>
      <c r="D106" s="760"/>
      <c r="E106" s="70">
        <v>1</v>
      </c>
      <c r="F106" s="95">
        <v>2</v>
      </c>
      <c r="G106" s="95">
        <v>3</v>
      </c>
      <c r="H106" s="95">
        <v>4</v>
      </c>
      <c r="I106" s="95">
        <v>5</v>
      </c>
      <c r="J106" s="95">
        <v>6</v>
      </c>
      <c r="K106" s="95">
        <v>7</v>
      </c>
      <c r="L106" s="95">
        <v>8</v>
      </c>
      <c r="M106" s="95">
        <v>9</v>
      </c>
      <c r="N106" s="95">
        <v>10</v>
      </c>
      <c r="O106" s="95">
        <v>11</v>
      </c>
      <c r="P106" s="95">
        <v>12</v>
      </c>
      <c r="Q106" s="95">
        <v>13</v>
      </c>
      <c r="R106" s="95">
        <v>14</v>
      </c>
      <c r="S106" s="95">
        <v>15</v>
      </c>
      <c r="T106" s="95">
        <v>16</v>
      </c>
      <c r="U106" s="95">
        <v>17</v>
      </c>
      <c r="V106" s="95">
        <v>18</v>
      </c>
      <c r="W106" s="762"/>
      <c r="X106" s="759"/>
      <c r="Y106" s="760"/>
      <c r="Z106" s="70">
        <v>1</v>
      </c>
      <c r="AA106" s="95">
        <v>2</v>
      </c>
      <c r="AB106" s="95">
        <v>3</v>
      </c>
      <c r="AC106" s="95">
        <v>4</v>
      </c>
      <c r="AD106" s="95">
        <v>5</v>
      </c>
      <c r="AE106" s="95">
        <v>6</v>
      </c>
      <c r="AF106" s="95">
        <v>7</v>
      </c>
      <c r="AG106" s="95">
        <v>8</v>
      </c>
      <c r="AH106" s="95">
        <v>9</v>
      </c>
      <c r="AI106" s="95">
        <v>10</v>
      </c>
      <c r="AJ106" s="95">
        <v>11</v>
      </c>
      <c r="AK106" s="72">
        <v>12</v>
      </c>
      <c r="AL106" s="72">
        <v>13</v>
      </c>
      <c r="AM106" s="72">
        <v>14</v>
      </c>
      <c r="AN106" s="72">
        <v>15</v>
      </c>
      <c r="AO106" s="72">
        <v>16</v>
      </c>
      <c r="AP106" s="72">
        <v>17</v>
      </c>
      <c r="AQ106" s="72">
        <v>18</v>
      </c>
    </row>
    <row r="107" spans="2:43" x14ac:dyDescent="0.3">
      <c r="B107" s="758"/>
      <c r="C107" s="759"/>
      <c r="D107" s="760"/>
      <c r="E107" s="763" t="s">
        <v>3</v>
      </c>
      <c r="F107" s="764"/>
      <c r="G107" s="764"/>
      <c r="H107" s="764"/>
      <c r="I107" s="764"/>
      <c r="J107" s="764"/>
      <c r="K107" s="764"/>
      <c r="L107" s="764"/>
      <c r="M107" s="764"/>
      <c r="N107" s="764"/>
      <c r="O107" s="764"/>
      <c r="P107" s="764"/>
      <c r="Q107" s="764"/>
      <c r="R107" s="764"/>
      <c r="S107" s="765"/>
      <c r="T107" s="74"/>
      <c r="U107" s="76"/>
      <c r="V107" s="76"/>
      <c r="W107" s="762"/>
      <c r="X107" s="759"/>
      <c r="Y107" s="760"/>
      <c r="Z107" s="766" t="s">
        <v>3</v>
      </c>
      <c r="AA107" s="766"/>
      <c r="AB107" s="766"/>
      <c r="AC107" s="766"/>
      <c r="AD107" s="766"/>
      <c r="AE107" s="766"/>
      <c r="AF107" s="766"/>
      <c r="AG107" s="766"/>
      <c r="AH107" s="766"/>
      <c r="AI107" s="766"/>
      <c r="AJ107" s="766"/>
      <c r="AK107" s="766"/>
      <c r="AL107" s="766"/>
      <c r="AM107" s="766"/>
      <c r="AN107" s="766"/>
      <c r="AO107" s="77"/>
      <c r="AP107" s="77"/>
      <c r="AQ107" s="77"/>
    </row>
    <row r="108" spans="2:43" x14ac:dyDescent="0.3">
      <c r="B108" s="758"/>
      <c r="C108" s="759"/>
      <c r="D108" s="760"/>
      <c r="E108" s="84"/>
      <c r="F108" s="85"/>
      <c r="G108" s="86"/>
      <c r="H108" s="85"/>
      <c r="I108" s="85"/>
      <c r="J108" s="85"/>
      <c r="K108" s="85"/>
      <c r="L108" s="87"/>
      <c r="M108" s="87"/>
      <c r="N108" s="85"/>
      <c r="O108" s="85"/>
      <c r="P108" s="71"/>
      <c r="Q108" s="71"/>
      <c r="R108" s="71"/>
      <c r="S108" s="71"/>
      <c r="T108" s="71"/>
      <c r="U108" s="71"/>
      <c r="V108" s="71"/>
      <c r="W108" s="762"/>
      <c r="X108" s="759"/>
      <c r="Y108" s="760"/>
      <c r="Z108" s="88"/>
      <c r="AA108" s="92"/>
      <c r="AB108" s="86"/>
      <c r="AC108" s="86"/>
      <c r="AD108" s="92"/>
      <c r="AE108" s="92"/>
      <c r="AF108" s="89"/>
      <c r="AG108" s="86"/>
      <c r="AH108" s="86"/>
      <c r="AI108" s="92"/>
      <c r="AJ108" s="90"/>
      <c r="AK108" s="91"/>
      <c r="AL108" s="91"/>
      <c r="AM108" s="91"/>
      <c r="AN108" s="91"/>
      <c r="AO108" s="91"/>
      <c r="AP108" s="91"/>
      <c r="AQ108" s="91"/>
    </row>
    <row r="109" spans="2:43" ht="115.8" x14ac:dyDescent="0.3">
      <c r="B109" s="758"/>
      <c r="C109" s="759"/>
      <c r="D109" s="760"/>
      <c r="E109" s="96" t="s">
        <v>157</v>
      </c>
      <c r="F109" s="85" t="s">
        <v>185</v>
      </c>
      <c r="G109" s="134" t="s">
        <v>316</v>
      </c>
      <c r="H109" s="96"/>
      <c r="I109" s="148"/>
      <c r="J109" s="96"/>
      <c r="K109" s="96"/>
      <c r="L109" s="96"/>
      <c r="M109" s="96"/>
      <c r="N109" s="96"/>
      <c r="O109" s="96"/>
      <c r="P109" s="96"/>
      <c r="Q109" s="96"/>
      <c r="R109" s="75"/>
      <c r="S109" s="96"/>
      <c r="T109" s="96"/>
      <c r="U109" s="96"/>
      <c r="V109" s="96"/>
      <c r="W109" s="762"/>
      <c r="X109" s="759"/>
      <c r="Y109" s="760"/>
      <c r="Z109" s="96" t="s">
        <v>157</v>
      </c>
      <c r="AA109" s="85" t="s">
        <v>185</v>
      </c>
      <c r="AB109" s="134" t="s">
        <v>316</v>
      </c>
      <c r="AC109" s="96"/>
      <c r="AD109" s="148"/>
      <c r="AE109" s="96"/>
      <c r="AF109" s="96"/>
      <c r="AG109" s="78"/>
      <c r="AH109" s="78"/>
      <c r="AI109" s="96"/>
      <c r="AJ109" s="96"/>
      <c r="AK109" s="96"/>
      <c r="AL109" s="96"/>
      <c r="AM109" s="75"/>
      <c r="AN109" s="96"/>
      <c r="AO109" s="96"/>
      <c r="AP109" s="96"/>
      <c r="AQ109" s="96"/>
    </row>
    <row r="110" spans="2:43" ht="15.6" x14ac:dyDescent="0.3">
      <c r="B110" s="1">
        <v>1</v>
      </c>
      <c r="C110" s="407" t="s">
        <v>10</v>
      </c>
      <c r="D110" s="413">
        <f>((E110+F110+G110+H110+I110+J110+K110)/7)</f>
        <v>5.7142857142857144</v>
      </c>
      <c r="E110" s="155">
        <v>20</v>
      </c>
      <c r="F110" s="154">
        <v>0</v>
      </c>
      <c r="G110" s="152">
        <v>20</v>
      </c>
      <c r="H110" s="260"/>
      <c r="I110" s="257"/>
      <c r="J110" s="258"/>
      <c r="K110" s="269"/>
      <c r="L110" s="257"/>
      <c r="M110" s="257"/>
      <c r="N110" s="257"/>
      <c r="O110" s="275"/>
      <c r="P110" s="259"/>
      <c r="Q110" s="259"/>
      <c r="R110" s="259"/>
      <c r="S110" s="259"/>
      <c r="T110" s="259"/>
      <c r="U110" s="259"/>
      <c r="V110" s="259"/>
      <c r="W110" s="2">
        <v>15</v>
      </c>
      <c r="X110" s="407" t="s">
        <v>17</v>
      </c>
      <c r="Y110" s="413">
        <f>((Z110+AA110+AB110+AC110+AD110+AE110+AF110)/7)</f>
        <v>7.7142857142857144</v>
      </c>
      <c r="Z110" s="172">
        <v>0</v>
      </c>
      <c r="AA110" s="152">
        <v>20</v>
      </c>
      <c r="AB110" s="152">
        <v>34</v>
      </c>
      <c r="AC110" s="268"/>
      <c r="AD110" s="257"/>
      <c r="AE110" s="258"/>
      <c r="AF110" s="269"/>
      <c r="AG110" s="257"/>
      <c r="AH110" s="257"/>
      <c r="AI110" s="257"/>
      <c r="AJ110" s="278"/>
      <c r="AK110" s="257"/>
      <c r="AL110" s="257"/>
      <c r="AM110" s="279"/>
      <c r="AN110" s="279"/>
      <c r="AO110" s="270"/>
      <c r="AP110" s="270"/>
      <c r="AQ110" s="270"/>
    </row>
    <row r="111" spans="2:43" ht="15.6" x14ac:dyDescent="0.3">
      <c r="B111" s="1">
        <v>2</v>
      </c>
      <c r="C111" s="406" t="s">
        <v>22</v>
      </c>
      <c r="D111" s="413">
        <f t="shared" ref="D111:D123" si="10">((E111+F111+G111+H111+I111+J111+K111)/7)</f>
        <v>14.571428571428571</v>
      </c>
      <c r="E111" s="155">
        <v>33</v>
      </c>
      <c r="F111" s="156">
        <v>35</v>
      </c>
      <c r="G111" s="152">
        <v>34</v>
      </c>
      <c r="H111" s="260"/>
      <c r="I111" s="257"/>
      <c r="J111" s="262"/>
      <c r="K111" s="261"/>
      <c r="L111" s="261"/>
      <c r="M111" s="261"/>
      <c r="N111" s="261"/>
      <c r="O111" s="276"/>
      <c r="P111" s="264"/>
      <c r="Q111" s="264"/>
      <c r="R111" s="264"/>
      <c r="S111" s="264"/>
      <c r="T111" s="264"/>
      <c r="U111" s="264"/>
      <c r="V111" s="264"/>
      <c r="W111" s="2">
        <v>16</v>
      </c>
      <c r="X111" s="407" t="s">
        <v>27</v>
      </c>
      <c r="Y111" s="413">
        <f t="shared" ref="Y111:Y123" si="11">((Z111+AA111+AB111+AC111+AD111+AE111+AF111)/7)</f>
        <v>9</v>
      </c>
      <c r="Z111" s="164">
        <v>33</v>
      </c>
      <c r="AA111" s="157">
        <v>0</v>
      </c>
      <c r="AB111" s="156">
        <v>30</v>
      </c>
      <c r="AC111" s="271"/>
      <c r="AD111" s="261"/>
      <c r="AE111" s="261"/>
      <c r="AF111" s="261"/>
      <c r="AG111" s="261"/>
      <c r="AH111" s="261"/>
      <c r="AI111" s="261"/>
      <c r="AJ111" s="263"/>
      <c r="AK111" s="261"/>
      <c r="AL111" s="280"/>
      <c r="AM111" s="280"/>
      <c r="AN111" s="280"/>
      <c r="AO111" s="272"/>
      <c r="AP111" s="272"/>
      <c r="AQ111" s="272"/>
    </row>
    <row r="112" spans="2:43" ht="15.6" x14ac:dyDescent="0.3">
      <c r="B112" s="1">
        <v>3</v>
      </c>
      <c r="C112" s="407" t="s">
        <v>12</v>
      </c>
      <c r="D112" s="413">
        <f t="shared" si="10"/>
        <v>14.285714285714286</v>
      </c>
      <c r="E112" s="155">
        <v>33</v>
      </c>
      <c r="F112" s="156">
        <v>35</v>
      </c>
      <c r="G112" s="152">
        <v>32</v>
      </c>
      <c r="H112" s="260"/>
      <c r="I112" s="257"/>
      <c r="J112" s="261"/>
      <c r="K112" s="261"/>
      <c r="L112" s="261"/>
      <c r="M112" s="257"/>
      <c r="N112" s="261"/>
      <c r="O112" s="276"/>
      <c r="P112" s="264"/>
      <c r="Q112" s="264"/>
      <c r="R112" s="264"/>
      <c r="S112" s="264"/>
      <c r="T112" s="264"/>
      <c r="U112" s="264"/>
      <c r="V112" s="264"/>
      <c r="W112" s="1">
        <v>17</v>
      </c>
      <c r="X112" s="407" t="s">
        <v>130</v>
      </c>
      <c r="Y112" s="413">
        <f t="shared" si="11"/>
        <v>14.571428571428571</v>
      </c>
      <c r="Z112" s="164">
        <v>33</v>
      </c>
      <c r="AA112" s="156">
        <v>35</v>
      </c>
      <c r="AB112" s="156">
        <v>34</v>
      </c>
      <c r="AC112" s="271"/>
      <c r="AD112" s="261"/>
      <c r="AE112" s="261"/>
      <c r="AF112" s="261"/>
      <c r="AG112" s="261"/>
      <c r="AH112" s="261"/>
      <c r="AI112" s="261"/>
      <c r="AJ112" s="263"/>
      <c r="AK112" s="280"/>
      <c r="AL112" s="280"/>
      <c r="AM112" s="280"/>
      <c r="AN112" s="280"/>
      <c r="AO112" s="272"/>
      <c r="AP112" s="272"/>
      <c r="AQ112" s="272"/>
    </row>
    <row r="113" spans="2:43" ht="15.6" x14ac:dyDescent="0.3">
      <c r="B113" s="1">
        <v>4</v>
      </c>
      <c r="C113" s="406" t="s">
        <v>23</v>
      </c>
      <c r="D113" s="413">
        <f t="shared" si="10"/>
        <v>13.571428571428571</v>
      </c>
      <c r="E113" s="155">
        <v>33</v>
      </c>
      <c r="F113" s="171">
        <v>30</v>
      </c>
      <c r="G113" s="152">
        <v>32</v>
      </c>
      <c r="H113" s="260"/>
      <c r="I113" s="257"/>
      <c r="J113" s="261"/>
      <c r="K113" s="261"/>
      <c r="L113" s="261"/>
      <c r="M113" s="261"/>
      <c r="N113" s="265"/>
      <c r="O113" s="277"/>
      <c r="P113" s="265"/>
      <c r="Q113" s="265"/>
      <c r="R113" s="265"/>
      <c r="S113" s="265"/>
      <c r="T113" s="265"/>
      <c r="U113" s="265"/>
      <c r="V113" s="265"/>
      <c r="W113" s="2">
        <v>18</v>
      </c>
      <c r="X113" s="407" t="s">
        <v>28</v>
      </c>
      <c r="Y113" s="413">
        <f t="shared" si="11"/>
        <v>15</v>
      </c>
      <c r="Z113" s="164">
        <v>35</v>
      </c>
      <c r="AA113" s="156">
        <v>35</v>
      </c>
      <c r="AB113" s="156">
        <v>35</v>
      </c>
      <c r="AC113" s="271"/>
      <c r="AD113" s="261"/>
      <c r="AE113" s="261"/>
      <c r="AF113" s="261"/>
      <c r="AG113" s="261"/>
      <c r="AH113" s="261"/>
      <c r="AI113" s="261"/>
      <c r="AJ113" s="263"/>
      <c r="AK113" s="261"/>
      <c r="AL113" s="261"/>
      <c r="AM113" s="280"/>
      <c r="AN113" s="280"/>
      <c r="AO113" s="272"/>
      <c r="AP113" s="272"/>
      <c r="AQ113" s="272"/>
    </row>
    <row r="114" spans="2:43" ht="15.6" x14ac:dyDescent="0.3">
      <c r="B114" s="1">
        <v>5</v>
      </c>
      <c r="C114" s="407" t="s">
        <v>13</v>
      </c>
      <c r="D114" s="413">
        <f t="shared" si="10"/>
        <v>12.571428571428571</v>
      </c>
      <c r="E114" s="155">
        <v>33</v>
      </c>
      <c r="F114" s="156">
        <v>25</v>
      </c>
      <c r="G114" s="152">
        <v>30</v>
      </c>
      <c r="H114" s="260"/>
      <c r="I114" s="257"/>
      <c r="J114" s="261"/>
      <c r="K114" s="261"/>
      <c r="L114" s="261"/>
      <c r="M114" s="257"/>
      <c r="N114" s="261"/>
      <c r="O114" s="276"/>
      <c r="P114" s="264"/>
      <c r="Q114" s="264"/>
      <c r="R114" s="264"/>
      <c r="S114" s="264"/>
      <c r="T114" s="264"/>
      <c r="U114" s="264"/>
      <c r="V114" s="264"/>
      <c r="W114" s="2">
        <v>19</v>
      </c>
      <c r="X114" s="408" t="s">
        <v>29</v>
      </c>
      <c r="Y114" s="413">
        <f t="shared" si="11"/>
        <v>11.428571428571429</v>
      </c>
      <c r="Z114" s="164">
        <v>30</v>
      </c>
      <c r="AA114" s="156">
        <v>25</v>
      </c>
      <c r="AB114" s="157">
        <v>25</v>
      </c>
      <c r="AC114" s="271"/>
      <c r="AD114" s="262"/>
      <c r="AE114" s="261"/>
      <c r="AF114" s="261"/>
      <c r="AG114" s="261"/>
      <c r="AH114" s="261"/>
      <c r="AI114" s="261"/>
      <c r="AJ114" s="263"/>
      <c r="AK114" s="280"/>
      <c r="AL114" s="280"/>
      <c r="AM114" s="280"/>
      <c r="AN114" s="280"/>
      <c r="AO114" s="272"/>
      <c r="AP114" s="272"/>
      <c r="AQ114" s="272"/>
    </row>
    <row r="115" spans="2:43" ht="15.6" x14ac:dyDescent="0.3">
      <c r="B115" s="1">
        <v>6</v>
      </c>
      <c r="C115" s="407" t="s">
        <v>52</v>
      </c>
      <c r="D115" s="413">
        <f t="shared" si="10"/>
        <v>14.142857142857142</v>
      </c>
      <c r="E115" s="155">
        <v>34</v>
      </c>
      <c r="F115" s="156">
        <v>35</v>
      </c>
      <c r="G115" s="152">
        <v>30</v>
      </c>
      <c r="H115" s="260"/>
      <c r="I115" s="257"/>
      <c r="J115" s="262"/>
      <c r="K115" s="261"/>
      <c r="L115" s="261"/>
      <c r="M115" s="261"/>
      <c r="N115" s="261"/>
      <c r="O115" s="276"/>
      <c r="P115" s="264"/>
      <c r="Q115" s="264"/>
      <c r="R115" s="264"/>
      <c r="S115" s="264"/>
      <c r="T115" s="264"/>
      <c r="U115" s="264"/>
      <c r="V115" s="264"/>
      <c r="W115" s="1">
        <v>20</v>
      </c>
      <c r="X115" s="407" t="s">
        <v>18</v>
      </c>
      <c r="Y115" s="413">
        <f t="shared" si="11"/>
        <v>14.857142857142858</v>
      </c>
      <c r="Z115" s="164">
        <v>34</v>
      </c>
      <c r="AA115" s="156">
        <v>35</v>
      </c>
      <c r="AB115" s="156">
        <v>35</v>
      </c>
      <c r="AC115" s="271"/>
      <c r="AD115" s="261"/>
      <c r="AE115" s="261"/>
      <c r="AF115" s="261"/>
      <c r="AG115" s="261"/>
      <c r="AH115" s="261"/>
      <c r="AI115" s="261"/>
      <c r="AJ115" s="263"/>
      <c r="AK115" s="280"/>
      <c r="AL115" s="280"/>
      <c r="AM115" s="280"/>
      <c r="AN115" s="280"/>
      <c r="AO115" s="272"/>
      <c r="AP115" s="272"/>
      <c r="AQ115" s="272"/>
    </row>
    <row r="116" spans="2:43" ht="15.6" x14ac:dyDescent="0.3">
      <c r="B116" s="1">
        <v>7</v>
      </c>
      <c r="C116" s="407" t="s">
        <v>24</v>
      </c>
      <c r="D116" s="413">
        <f t="shared" si="10"/>
        <v>4.2857142857142856</v>
      </c>
      <c r="E116" s="155">
        <v>30</v>
      </c>
      <c r="F116" s="157">
        <v>0</v>
      </c>
      <c r="G116" s="154">
        <v>0</v>
      </c>
      <c r="H116" s="256"/>
      <c r="I116" s="258"/>
      <c r="J116" s="262"/>
      <c r="K116" s="261"/>
      <c r="L116" s="261"/>
      <c r="M116" s="257"/>
      <c r="N116" s="261"/>
      <c r="O116" s="276"/>
      <c r="P116" s="264"/>
      <c r="Q116" s="264"/>
      <c r="R116" s="264"/>
      <c r="S116" s="264"/>
      <c r="T116" s="264"/>
      <c r="U116" s="264"/>
      <c r="V116" s="264"/>
      <c r="W116" s="2">
        <v>21</v>
      </c>
      <c r="X116" s="418" t="s">
        <v>32</v>
      </c>
      <c r="Y116" s="413">
        <f t="shared" si="11"/>
        <v>0</v>
      </c>
      <c r="Z116" s="179">
        <v>0</v>
      </c>
      <c r="AA116" s="157">
        <v>0</v>
      </c>
      <c r="AB116" s="157">
        <v>0</v>
      </c>
      <c r="AC116" s="271"/>
      <c r="AD116" s="261"/>
      <c r="AE116" s="262"/>
      <c r="AF116" s="261"/>
      <c r="AG116" s="261"/>
      <c r="AH116" s="261"/>
      <c r="AI116" s="261"/>
      <c r="AJ116" s="263"/>
      <c r="AK116" s="280"/>
      <c r="AL116" s="280"/>
      <c r="AM116" s="280"/>
      <c r="AN116" s="280"/>
      <c r="AO116" s="272"/>
      <c r="AP116" s="272"/>
      <c r="AQ116" s="272"/>
    </row>
    <row r="117" spans="2:43" ht="15.6" x14ac:dyDescent="0.3">
      <c r="B117" s="1">
        <v>8</v>
      </c>
      <c r="C117" s="407" t="s">
        <v>14</v>
      </c>
      <c r="D117" s="413">
        <f t="shared" si="10"/>
        <v>14</v>
      </c>
      <c r="E117" s="160">
        <v>33</v>
      </c>
      <c r="F117" s="157">
        <v>30</v>
      </c>
      <c r="G117" s="152">
        <v>35</v>
      </c>
      <c r="H117" s="267"/>
      <c r="I117" s="257"/>
      <c r="J117" s="261"/>
      <c r="K117" s="261"/>
      <c r="L117" s="261"/>
      <c r="M117" s="261"/>
      <c r="N117" s="261"/>
      <c r="O117" s="276"/>
      <c r="P117" s="264"/>
      <c r="Q117" s="264"/>
      <c r="R117" s="264"/>
      <c r="S117" s="264"/>
      <c r="T117" s="264"/>
      <c r="U117" s="264"/>
      <c r="V117" s="264"/>
      <c r="W117" s="2">
        <v>22</v>
      </c>
      <c r="X117" s="407" t="s">
        <v>30</v>
      </c>
      <c r="Y117" s="413">
        <f t="shared" si="11"/>
        <v>9</v>
      </c>
      <c r="Z117" s="164">
        <v>30</v>
      </c>
      <c r="AA117" s="156">
        <v>15</v>
      </c>
      <c r="AB117" s="156">
        <v>18</v>
      </c>
      <c r="AC117" s="271"/>
      <c r="AD117" s="262"/>
      <c r="AE117" s="261"/>
      <c r="AF117" s="261"/>
      <c r="AG117" s="261"/>
      <c r="AH117" s="261"/>
      <c r="AI117" s="261"/>
      <c r="AJ117" s="263"/>
      <c r="AK117" s="280"/>
      <c r="AL117" s="280"/>
      <c r="AM117" s="280"/>
      <c r="AN117" s="280"/>
      <c r="AO117" s="272"/>
      <c r="AP117" s="272"/>
      <c r="AQ117" s="272"/>
    </row>
    <row r="118" spans="2:43" ht="15.6" x14ac:dyDescent="0.3">
      <c r="B118" s="1">
        <v>9</v>
      </c>
      <c r="C118" s="407" t="s">
        <v>51</v>
      </c>
      <c r="D118" s="413">
        <f t="shared" si="10"/>
        <v>8.5714285714285712</v>
      </c>
      <c r="E118" s="160">
        <v>30</v>
      </c>
      <c r="F118" s="157">
        <v>0</v>
      </c>
      <c r="G118" s="152">
        <v>30</v>
      </c>
      <c r="H118" s="267"/>
      <c r="I118" s="258"/>
      <c r="J118" s="262"/>
      <c r="K118" s="261"/>
      <c r="L118" s="261"/>
      <c r="M118" s="257"/>
      <c r="N118" s="261"/>
      <c r="O118" s="276"/>
      <c r="P118" s="264"/>
      <c r="Q118" s="264"/>
      <c r="R118" s="264"/>
      <c r="S118" s="264"/>
      <c r="T118" s="264"/>
      <c r="U118" s="264"/>
      <c r="V118" s="264"/>
      <c r="W118" s="1">
        <v>23</v>
      </c>
      <c r="X118" s="407" t="s">
        <v>19</v>
      </c>
      <c r="Y118" s="413">
        <f t="shared" si="11"/>
        <v>11.142857142857142</v>
      </c>
      <c r="Z118" s="164">
        <v>33</v>
      </c>
      <c r="AA118" s="156">
        <v>30</v>
      </c>
      <c r="AB118" s="156">
        <v>15</v>
      </c>
      <c r="AC118" s="271"/>
      <c r="AD118" s="261"/>
      <c r="AE118" s="262"/>
      <c r="AF118" s="261"/>
      <c r="AG118" s="261"/>
      <c r="AH118" s="261"/>
      <c r="AI118" s="261"/>
      <c r="AJ118" s="263"/>
      <c r="AK118" s="280"/>
      <c r="AL118" s="280"/>
      <c r="AM118" s="280"/>
      <c r="AN118" s="280"/>
      <c r="AO118" s="272"/>
      <c r="AP118" s="272"/>
      <c r="AQ118" s="272"/>
    </row>
    <row r="119" spans="2:43" ht="23.4" x14ac:dyDescent="0.3">
      <c r="B119" s="1">
        <v>10</v>
      </c>
      <c r="C119" s="407" t="s">
        <v>62</v>
      </c>
      <c r="D119" s="413">
        <f t="shared" si="10"/>
        <v>11.714285714285714</v>
      </c>
      <c r="E119" s="155">
        <v>35</v>
      </c>
      <c r="F119" s="156">
        <v>25</v>
      </c>
      <c r="G119" s="152">
        <v>22</v>
      </c>
      <c r="H119" s="260"/>
      <c r="I119" s="257"/>
      <c r="J119" s="261"/>
      <c r="K119" s="261"/>
      <c r="L119" s="261"/>
      <c r="M119" s="257"/>
      <c r="N119" s="261"/>
      <c r="O119" s="276"/>
      <c r="P119" s="264"/>
      <c r="Q119" s="264"/>
      <c r="R119" s="264"/>
      <c r="S119" s="264"/>
      <c r="T119" s="264"/>
      <c r="U119" s="264"/>
      <c r="V119" s="264"/>
      <c r="W119" s="2">
        <v>24</v>
      </c>
      <c r="X119" s="407" t="s">
        <v>33</v>
      </c>
      <c r="Y119" s="413">
        <f t="shared" si="11"/>
        <v>5</v>
      </c>
      <c r="Z119" s="172">
        <v>0</v>
      </c>
      <c r="AA119" s="154">
        <v>0</v>
      </c>
      <c r="AB119" s="156">
        <v>35</v>
      </c>
      <c r="AC119" s="281"/>
      <c r="AD119" s="262"/>
      <c r="AE119" s="262"/>
      <c r="AF119" s="261"/>
      <c r="AG119" s="261"/>
      <c r="AH119" s="261"/>
      <c r="AI119" s="261"/>
      <c r="AJ119" s="263"/>
      <c r="AK119" s="280"/>
      <c r="AL119" s="280"/>
      <c r="AM119" s="280"/>
      <c r="AN119" s="280"/>
      <c r="AO119" s="272"/>
      <c r="AP119" s="272"/>
      <c r="AQ119" s="272"/>
    </row>
    <row r="120" spans="2:43" ht="15.6" x14ac:dyDescent="0.3">
      <c r="B120" s="1">
        <v>11</v>
      </c>
      <c r="C120" s="407" t="s">
        <v>25</v>
      </c>
      <c r="D120" s="413">
        <f t="shared" si="10"/>
        <v>8.8571428571428577</v>
      </c>
      <c r="E120" s="155">
        <v>32</v>
      </c>
      <c r="F120" s="157">
        <v>0</v>
      </c>
      <c r="G120" s="152">
        <v>30</v>
      </c>
      <c r="H120" s="260"/>
      <c r="I120" s="258"/>
      <c r="J120" s="261"/>
      <c r="K120" s="261"/>
      <c r="L120" s="261"/>
      <c r="M120" s="261"/>
      <c r="N120" s="261"/>
      <c r="O120" s="276"/>
      <c r="P120" s="264"/>
      <c r="Q120" s="264"/>
      <c r="R120" s="264"/>
      <c r="S120" s="264"/>
      <c r="T120" s="264"/>
      <c r="U120" s="264"/>
      <c r="V120" s="264"/>
      <c r="W120" s="2">
        <v>25</v>
      </c>
      <c r="X120" s="407" t="s">
        <v>20</v>
      </c>
      <c r="Y120" s="413">
        <f t="shared" si="11"/>
        <v>11.571428571428571</v>
      </c>
      <c r="Z120" s="168">
        <v>33</v>
      </c>
      <c r="AA120" s="156">
        <v>30</v>
      </c>
      <c r="AB120" s="156">
        <v>18</v>
      </c>
      <c r="AC120" s="273"/>
      <c r="AD120" s="262"/>
      <c r="AE120" s="262"/>
      <c r="AF120" s="261"/>
      <c r="AG120" s="261"/>
      <c r="AH120" s="261"/>
      <c r="AI120" s="261"/>
      <c r="AJ120" s="263"/>
      <c r="AK120" s="280"/>
      <c r="AL120" s="280"/>
      <c r="AM120" s="280"/>
      <c r="AN120" s="280"/>
      <c r="AO120" s="272"/>
      <c r="AP120" s="272"/>
      <c r="AQ120" s="272"/>
    </row>
    <row r="121" spans="2:43" ht="15.6" x14ac:dyDescent="0.3">
      <c r="B121" s="1">
        <v>12</v>
      </c>
      <c r="C121" s="407" t="s">
        <v>15</v>
      </c>
      <c r="D121" s="413">
        <f t="shared" si="10"/>
        <v>9.2857142857142865</v>
      </c>
      <c r="E121" s="155">
        <v>30</v>
      </c>
      <c r="F121" s="156">
        <v>35</v>
      </c>
      <c r="G121" s="154">
        <v>0</v>
      </c>
      <c r="H121" s="256"/>
      <c r="I121" s="258"/>
      <c r="J121" s="262"/>
      <c r="K121" s="261"/>
      <c r="L121" s="261"/>
      <c r="M121" s="257"/>
      <c r="N121" s="261"/>
      <c r="O121" s="276"/>
      <c r="P121" s="264"/>
      <c r="Q121" s="264"/>
      <c r="R121" s="264"/>
      <c r="S121" s="264"/>
      <c r="T121" s="264"/>
      <c r="U121" s="264"/>
      <c r="V121" s="264"/>
      <c r="W121" s="1">
        <v>26</v>
      </c>
      <c r="X121" s="407" t="s">
        <v>31</v>
      </c>
      <c r="Y121" s="413">
        <f t="shared" si="11"/>
        <v>12.571428571428571</v>
      </c>
      <c r="Z121" s="168">
        <v>33</v>
      </c>
      <c r="AA121" s="156">
        <v>30</v>
      </c>
      <c r="AB121" s="156">
        <v>25</v>
      </c>
      <c r="AC121" s="273"/>
      <c r="AD121" s="261"/>
      <c r="AE121" s="261"/>
      <c r="AF121" s="261"/>
      <c r="AG121" s="261"/>
      <c r="AH121" s="261"/>
      <c r="AI121" s="261"/>
      <c r="AJ121" s="263"/>
      <c r="AK121" s="261"/>
      <c r="AL121" s="261"/>
      <c r="AM121" s="280"/>
      <c r="AN121" s="280"/>
      <c r="AO121" s="272"/>
      <c r="AP121" s="272"/>
      <c r="AQ121" s="272"/>
    </row>
    <row r="122" spans="2:43" ht="16.2" thickBot="1" x14ac:dyDescent="0.35">
      <c r="B122" s="1">
        <v>13</v>
      </c>
      <c r="C122" s="407" t="s">
        <v>26</v>
      </c>
      <c r="D122" s="413">
        <f t="shared" si="10"/>
        <v>8.4285714285714288</v>
      </c>
      <c r="E122" s="160">
        <v>34</v>
      </c>
      <c r="F122" s="156">
        <v>25</v>
      </c>
      <c r="G122" s="156">
        <v>0</v>
      </c>
      <c r="H122" s="262"/>
      <c r="I122" s="262"/>
      <c r="J122" s="261"/>
      <c r="K122" s="261"/>
      <c r="L122" s="261"/>
      <c r="M122" s="261"/>
      <c r="N122" s="261"/>
      <c r="O122" s="264"/>
      <c r="P122" s="264"/>
      <c r="Q122" s="264"/>
      <c r="R122" s="264"/>
      <c r="S122" s="264"/>
      <c r="T122" s="264"/>
      <c r="U122" s="264"/>
      <c r="V122" s="264"/>
      <c r="W122" s="2">
        <v>27</v>
      </c>
      <c r="X122" s="407" t="s">
        <v>21</v>
      </c>
      <c r="Y122" s="413">
        <f t="shared" si="11"/>
        <v>10.571428571428571</v>
      </c>
      <c r="Z122" s="169">
        <v>24</v>
      </c>
      <c r="AA122" s="156">
        <v>25</v>
      </c>
      <c r="AB122" s="156">
        <v>25</v>
      </c>
      <c r="AC122" s="282"/>
      <c r="AD122" s="262"/>
      <c r="AE122" s="262"/>
      <c r="AF122" s="283"/>
      <c r="AG122" s="261"/>
      <c r="AH122" s="274"/>
      <c r="AI122" s="274"/>
      <c r="AJ122" s="274"/>
      <c r="AK122" s="272"/>
      <c r="AL122" s="272"/>
      <c r="AM122" s="272"/>
      <c r="AN122" s="272"/>
      <c r="AO122" s="272"/>
      <c r="AP122" s="272"/>
      <c r="AQ122" s="272"/>
    </row>
    <row r="123" spans="2:43" ht="23.4" x14ac:dyDescent="0.3">
      <c r="B123" s="1">
        <v>14</v>
      </c>
      <c r="C123" s="407" t="s">
        <v>16</v>
      </c>
      <c r="D123" s="413">
        <f t="shared" si="10"/>
        <v>14.857142857142858</v>
      </c>
      <c r="E123" s="160">
        <v>35</v>
      </c>
      <c r="F123" s="156">
        <v>35</v>
      </c>
      <c r="G123" s="156">
        <v>34</v>
      </c>
      <c r="H123" s="261"/>
      <c r="I123" s="261"/>
      <c r="J123" s="261"/>
      <c r="K123" s="261"/>
      <c r="L123" s="261"/>
      <c r="M123" s="261"/>
      <c r="N123" s="261"/>
      <c r="O123" s="264"/>
      <c r="P123" s="264"/>
      <c r="Q123" s="264"/>
      <c r="R123" s="264"/>
      <c r="S123" s="264"/>
      <c r="T123" s="264"/>
      <c r="U123" s="264"/>
      <c r="V123" s="264"/>
      <c r="W123" s="2">
        <v>28</v>
      </c>
      <c r="X123" s="419" t="s">
        <v>63</v>
      </c>
      <c r="Y123" s="413">
        <f t="shared" si="11"/>
        <v>12.571428571428571</v>
      </c>
      <c r="Z123" s="358">
        <v>33</v>
      </c>
      <c r="AA123" s="359">
        <v>35</v>
      </c>
      <c r="AB123" s="359">
        <v>20</v>
      </c>
      <c r="AC123" s="306"/>
      <c r="AD123" s="291"/>
      <c r="AE123" s="294"/>
      <c r="AF123" s="295"/>
      <c r="AG123" s="291"/>
      <c r="AH123" s="292"/>
      <c r="AI123" s="292"/>
      <c r="AJ123" s="292"/>
      <c r="AK123" s="293"/>
      <c r="AL123" s="293"/>
      <c r="AM123" s="293"/>
      <c r="AN123" s="293"/>
      <c r="AO123" s="293"/>
      <c r="AP123" s="293"/>
      <c r="AQ123" s="293"/>
    </row>
    <row r="124" spans="2:43" ht="19.2" x14ac:dyDescent="0.3">
      <c r="X124" s="411" t="s">
        <v>305</v>
      </c>
      <c r="Y124" s="417"/>
      <c r="Z124" s="420"/>
      <c r="AA124" s="72"/>
      <c r="AB124" s="72">
        <v>18</v>
      </c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</row>
  </sheetData>
  <mergeCells count="54">
    <mergeCell ref="B1:AQ1"/>
    <mergeCell ref="B2:C5"/>
    <mergeCell ref="D2:D5"/>
    <mergeCell ref="E2:V2"/>
    <mergeCell ref="W2:X5"/>
    <mergeCell ref="Y2:Y5"/>
    <mergeCell ref="Z2:AQ2"/>
    <mergeCell ref="E4:S4"/>
    <mergeCell ref="Z4:AN4"/>
    <mergeCell ref="B21:AQ21"/>
    <mergeCell ref="B22:C25"/>
    <mergeCell ref="D22:D25"/>
    <mergeCell ref="E22:V22"/>
    <mergeCell ref="W22:X25"/>
    <mergeCell ref="Y22:Y25"/>
    <mergeCell ref="Z22:AQ22"/>
    <mergeCell ref="E24:S24"/>
    <mergeCell ref="Z24:AN24"/>
    <mergeCell ref="B42:AQ42"/>
    <mergeCell ref="B43:C46"/>
    <mergeCell ref="D43:D46"/>
    <mergeCell ref="E43:V43"/>
    <mergeCell ref="W43:X46"/>
    <mergeCell ref="Y43:Y46"/>
    <mergeCell ref="Z43:AQ43"/>
    <mergeCell ref="E45:S45"/>
    <mergeCell ref="Z45:AN45"/>
    <mergeCell ref="B63:AQ63"/>
    <mergeCell ref="B64:C67"/>
    <mergeCell ref="D64:D67"/>
    <mergeCell ref="E64:V64"/>
    <mergeCell ref="W64:X67"/>
    <mergeCell ref="Y64:Y67"/>
    <mergeCell ref="Z64:AQ64"/>
    <mergeCell ref="E66:S66"/>
    <mergeCell ref="Z66:AN66"/>
    <mergeCell ref="B83:AQ83"/>
    <mergeCell ref="B84:C88"/>
    <mergeCell ref="D84:D88"/>
    <mergeCell ref="E84:V84"/>
    <mergeCell ref="W84:X88"/>
    <mergeCell ref="Y84:Y88"/>
    <mergeCell ref="Z84:AQ84"/>
    <mergeCell ref="E86:S86"/>
    <mergeCell ref="Z86:AN86"/>
    <mergeCell ref="B104:AQ104"/>
    <mergeCell ref="B105:C109"/>
    <mergeCell ref="D105:D109"/>
    <mergeCell ref="E105:V105"/>
    <mergeCell ref="W105:X109"/>
    <mergeCell ref="Y105:Y109"/>
    <mergeCell ref="Z105:AQ105"/>
    <mergeCell ref="E107:S107"/>
    <mergeCell ref="Z107:AN107"/>
  </mergeCells>
  <pageMargins left="0.25" right="0.25" top="0.75" bottom="0.75" header="0.3" footer="0.3"/>
  <pageSetup orientation="landscape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AP122"/>
  <sheetViews>
    <sheetView topLeftCell="A65" zoomScaleNormal="100" workbookViewId="0">
      <selection activeCell="W68" sqref="W68:W82"/>
    </sheetView>
  </sheetViews>
  <sheetFormatPr baseColWidth="10" defaultRowHeight="14.4" x14ac:dyDescent="0.3"/>
  <cols>
    <col min="1" max="1" width="3.109375" customWidth="1"/>
    <col min="2" max="2" width="18" customWidth="1"/>
    <col min="3" max="3" width="3.77734375" customWidth="1"/>
    <col min="4" max="22" width="3.88671875" customWidth="1"/>
    <col min="23" max="23" width="18" customWidth="1"/>
    <col min="24" max="24" width="3.77734375" customWidth="1"/>
    <col min="25" max="29" width="3.88671875" customWidth="1"/>
    <col min="30" max="30" width="4.6640625" customWidth="1"/>
    <col min="31" max="34" width="3.88671875" customWidth="1"/>
    <col min="35" max="42" width="3.6640625" customWidth="1"/>
  </cols>
  <sheetData>
    <row r="1" spans="1:42" ht="21" x14ac:dyDescent="0.3">
      <c r="A1" s="757" t="s">
        <v>354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7"/>
      <c r="N1" s="757"/>
      <c r="O1" s="757"/>
      <c r="P1" s="757"/>
      <c r="Q1" s="757"/>
      <c r="R1" s="757"/>
      <c r="S1" s="757"/>
      <c r="T1" s="757"/>
      <c r="U1" s="757"/>
      <c r="V1" s="757"/>
      <c r="W1" s="757"/>
      <c r="X1" s="757"/>
      <c r="Y1" s="757"/>
      <c r="Z1" s="757"/>
      <c r="AA1" s="757"/>
      <c r="AB1" s="757"/>
      <c r="AC1" s="757"/>
      <c r="AD1" s="757"/>
      <c r="AE1" s="757"/>
      <c r="AF1" s="757"/>
      <c r="AG1" s="757"/>
      <c r="AH1" s="757"/>
      <c r="AI1" s="757"/>
      <c r="AJ1" s="757"/>
      <c r="AK1" s="757"/>
      <c r="AL1" s="757"/>
      <c r="AM1" s="757"/>
      <c r="AN1" s="757"/>
      <c r="AO1" s="757"/>
      <c r="AP1" s="757"/>
    </row>
    <row r="2" spans="1:42" ht="15.6" x14ac:dyDescent="0.3">
      <c r="A2" s="758" t="s">
        <v>34</v>
      </c>
      <c r="B2" s="759"/>
      <c r="C2" s="770" t="s">
        <v>1</v>
      </c>
      <c r="D2" s="768" t="s">
        <v>2</v>
      </c>
      <c r="E2" s="768"/>
      <c r="F2" s="768"/>
      <c r="G2" s="768"/>
      <c r="H2" s="768"/>
      <c r="I2" s="768"/>
      <c r="J2" s="768"/>
      <c r="K2" s="768"/>
      <c r="L2" s="768"/>
      <c r="M2" s="768"/>
      <c r="N2" s="768"/>
      <c r="O2" s="768"/>
      <c r="P2" s="768"/>
      <c r="Q2" s="768"/>
      <c r="R2" s="768"/>
      <c r="S2" s="768"/>
      <c r="T2" s="768"/>
      <c r="U2" s="768"/>
      <c r="V2" s="762" t="s">
        <v>34</v>
      </c>
      <c r="W2" s="759"/>
      <c r="X2" s="770" t="s">
        <v>1</v>
      </c>
      <c r="Y2" s="768" t="s">
        <v>2</v>
      </c>
      <c r="Z2" s="768"/>
      <c r="AA2" s="768"/>
      <c r="AB2" s="768"/>
      <c r="AC2" s="768"/>
      <c r="AD2" s="768"/>
      <c r="AE2" s="768"/>
      <c r="AF2" s="768"/>
      <c r="AG2" s="768"/>
      <c r="AH2" s="768"/>
      <c r="AI2" s="768"/>
      <c r="AJ2" s="768"/>
      <c r="AK2" s="768"/>
      <c r="AL2" s="768"/>
      <c r="AM2" s="768"/>
      <c r="AN2" s="768"/>
      <c r="AO2" s="768"/>
      <c r="AP2" s="769"/>
    </row>
    <row r="3" spans="1:42" x14ac:dyDescent="0.3">
      <c r="A3" s="758"/>
      <c r="B3" s="759"/>
      <c r="C3" s="770"/>
      <c r="D3" s="446">
        <v>1</v>
      </c>
      <c r="E3" s="95">
        <v>2</v>
      </c>
      <c r="F3" s="95">
        <v>3</v>
      </c>
      <c r="G3" s="95">
        <v>4</v>
      </c>
      <c r="H3" s="95">
        <v>5</v>
      </c>
      <c r="I3" s="95">
        <v>6</v>
      </c>
      <c r="J3" s="95">
        <v>7</v>
      </c>
      <c r="K3" s="95">
        <v>8</v>
      </c>
      <c r="L3" s="95">
        <v>9</v>
      </c>
      <c r="M3" s="95">
        <v>10</v>
      </c>
      <c r="N3" s="95">
        <v>11</v>
      </c>
      <c r="O3" s="95">
        <v>12</v>
      </c>
      <c r="P3" s="95">
        <v>13</v>
      </c>
      <c r="Q3" s="95">
        <v>14</v>
      </c>
      <c r="R3" s="95">
        <v>15</v>
      </c>
      <c r="S3" s="95">
        <v>16</v>
      </c>
      <c r="T3" s="95">
        <v>17</v>
      </c>
      <c r="U3" s="95">
        <v>18</v>
      </c>
      <c r="V3" s="762"/>
      <c r="W3" s="759"/>
      <c r="X3" s="770"/>
      <c r="Y3" s="446">
        <v>1</v>
      </c>
      <c r="Z3" s="95">
        <v>2</v>
      </c>
      <c r="AA3" s="95">
        <v>3</v>
      </c>
      <c r="AB3" s="95">
        <v>4</v>
      </c>
      <c r="AC3" s="95">
        <v>5</v>
      </c>
      <c r="AD3" s="95">
        <v>6</v>
      </c>
      <c r="AE3" s="95">
        <v>7</v>
      </c>
      <c r="AF3" s="95">
        <v>8</v>
      </c>
      <c r="AG3" s="95">
        <v>9</v>
      </c>
      <c r="AH3" s="95">
        <v>10</v>
      </c>
      <c r="AI3" s="95">
        <v>11</v>
      </c>
      <c r="AJ3" s="72">
        <v>12</v>
      </c>
      <c r="AK3" s="72">
        <v>13</v>
      </c>
      <c r="AL3" s="72">
        <v>14</v>
      </c>
      <c r="AM3" s="72">
        <v>15</v>
      </c>
      <c r="AN3" s="72">
        <v>16</v>
      </c>
      <c r="AO3" s="72">
        <v>17</v>
      </c>
      <c r="AP3" s="72">
        <v>18</v>
      </c>
    </row>
    <row r="4" spans="1:42" x14ac:dyDescent="0.3">
      <c r="A4" s="758"/>
      <c r="B4" s="759"/>
      <c r="C4" s="770"/>
      <c r="D4" s="832" t="s">
        <v>3</v>
      </c>
      <c r="E4" s="833"/>
      <c r="F4" s="833"/>
      <c r="G4" s="833"/>
      <c r="H4" s="833"/>
      <c r="I4" s="833"/>
      <c r="J4" s="833"/>
      <c r="K4" s="833"/>
      <c r="L4" s="833"/>
      <c r="M4" s="833"/>
      <c r="N4" s="833"/>
      <c r="O4" s="833"/>
      <c r="P4" s="833"/>
      <c r="Q4" s="833"/>
      <c r="R4" s="834"/>
      <c r="S4" s="74"/>
      <c r="T4" s="76"/>
      <c r="U4" s="76"/>
      <c r="V4" s="762"/>
      <c r="W4" s="759"/>
      <c r="X4" s="770"/>
      <c r="Y4" s="832" t="s">
        <v>3</v>
      </c>
      <c r="Z4" s="833"/>
      <c r="AA4" s="833"/>
      <c r="AB4" s="833"/>
      <c r="AC4" s="833"/>
      <c r="AD4" s="833"/>
      <c r="AE4" s="833"/>
      <c r="AF4" s="833"/>
      <c r="AG4" s="833"/>
      <c r="AH4" s="833"/>
      <c r="AI4" s="833"/>
      <c r="AJ4" s="833"/>
      <c r="AK4" s="833"/>
      <c r="AL4" s="833"/>
      <c r="AM4" s="834"/>
      <c r="AN4" s="77"/>
      <c r="AO4" s="77"/>
      <c r="AP4" s="77"/>
    </row>
    <row r="5" spans="1:42" ht="94.8" customHeight="1" x14ac:dyDescent="0.3">
      <c r="A5" s="758"/>
      <c r="B5" s="759"/>
      <c r="C5" s="770"/>
      <c r="D5" s="558" t="s">
        <v>356</v>
      </c>
      <c r="E5" s="325" t="s">
        <v>357</v>
      </c>
      <c r="F5" s="325" t="s">
        <v>360</v>
      </c>
      <c r="G5" s="325" t="s">
        <v>361</v>
      </c>
      <c r="H5" s="596" t="s">
        <v>364</v>
      </c>
      <c r="I5" s="596" t="s">
        <v>370</v>
      </c>
      <c r="J5" s="300" t="s">
        <v>374</v>
      </c>
      <c r="K5" s="597" t="s">
        <v>376</v>
      </c>
      <c r="L5" s="598" t="s">
        <v>378</v>
      </c>
      <c r="M5" s="308" t="s">
        <v>379</v>
      </c>
      <c r="N5" s="134" t="s">
        <v>386</v>
      </c>
      <c r="O5" s="300" t="s">
        <v>389</v>
      </c>
      <c r="P5" s="598" t="s">
        <v>397</v>
      </c>
      <c r="Q5" s="310" t="s">
        <v>131</v>
      </c>
      <c r="R5" s="557" t="s">
        <v>384</v>
      </c>
      <c r="S5" s="151"/>
      <c r="T5" s="322"/>
      <c r="U5" s="96"/>
      <c r="V5" s="762"/>
      <c r="W5" s="759"/>
      <c r="X5" s="770"/>
      <c r="Y5" s="558" t="s">
        <v>356</v>
      </c>
      <c r="Z5" s="325" t="s">
        <v>357</v>
      </c>
      <c r="AA5" s="325" t="s">
        <v>360</v>
      </c>
      <c r="AB5" s="325" t="s">
        <v>361</v>
      </c>
      <c r="AC5" s="596" t="s">
        <v>364</v>
      </c>
      <c r="AD5" s="596" t="s">
        <v>370</v>
      </c>
      <c r="AE5" s="300" t="s">
        <v>374</v>
      </c>
      <c r="AF5" s="597" t="s">
        <v>376</v>
      </c>
      <c r="AG5" s="598" t="s">
        <v>378</v>
      </c>
      <c r="AH5" s="308" t="s">
        <v>379</v>
      </c>
      <c r="AI5" s="134" t="s">
        <v>386</v>
      </c>
      <c r="AJ5" s="300" t="s">
        <v>389</v>
      </c>
      <c r="AK5" s="598" t="s">
        <v>397</v>
      </c>
      <c r="AL5" s="310" t="s">
        <v>131</v>
      </c>
      <c r="AM5" s="557" t="s">
        <v>384</v>
      </c>
      <c r="AN5" s="151"/>
      <c r="AO5" s="322"/>
      <c r="AP5" s="96"/>
    </row>
    <row r="6" spans="1:42" ht="15.6" customHeight="1" thickBot="1" x14ac:dyDescent="0.35">
      <c r="A6" s="1">
        <v>1</v>
      </c>
      <c r="B6" s="579" t="s">
        <v>398</v>
      </c>
      <c r="C6" s="314">
        <f>((D6+E6+F6+G6+H6+I6+J6+K6+L6+M6+N6+O6+P6)/13)</f>
        <v>23.46153846153846</v>
      </c>
      <c r="D6" s="260">
        <v>18</v>
      </c>
      <c r="E6" s="608">
        <v>18</v>
      </c>
      <c r="F6" s="608">
        <v>20</v>
      </c>
      <c r="G6" s="600">
        <v>18</v>
      </c>
      <c r="H6" s="608">
        <v>18</v>
      </c>
      <c r="I6" s="608">
        <v>22</v>
      </c>
      <c r="J6" s="489">
        <v>30</v>
      </c>
      <c r="K6" s="600">
        <v>30</v>
      </c>
      <c r="L6" s="608">
        <v>28</v>
      </c>
      <c r="M6" s="488">
        <v>28</v>
      </c>
      <c r="N6" s="491">
        <v>22</v>
      </c>
      <c r="O6" s="257">
        <v>35</v>
      </c>
      <c r="P6" s="599">
        <v>18</v>
      </c>
      <c r="Q6" s="257"/>
      <c r="R6" s="492"/>
      <c r="S6" s="492"/>
      <c r="T6" s="257"/>
      <c r="U6" s="259"/>
      <c r="V6" s="2">
        <v>15</v>
      </c>
      <c r="W6" s="591" t="s">
        <v>401</v>
      </c>
      <c r="X6" s="314">
        <f>((Y6+Z6+AA6+AB6+AC6+AD6+AE6+AF6+AG6+AH6+AI6+AJ6+AK6)/13)</f>
        <v>14.923076923076923</v>
      </c>
      <c r="Y6" s="268">
        <v>35</v>
      </c>
      <c r="Z6" s="599">
        <v>15</v>
      </c>
      <c r="AA6" s="689">
        <v>18</v>
      </c>
      <c r="AB6" s="629">
        <v>18</v>
      </c>
      <c r="AC6" s="689">
        <v>18</v>
      </c>
      <c r="AD6" s="599">
        <v>0</v>
      </c>
      <c r="AE6" s="269">
        <v>33</v>
      </c>
      <c r="AF6" s="629">
        <v>18</v>
      </c>
      <c r="AG6" s="600"/>
      <c r="AH6" s="257">
        <v>21</v>
      </c>
      <c r="AI6" s="503"/>
      <c r="AJ6" s="490"/>
      <c r="AK6" s="608">
        <v>18</v>
      </c>
      <c r="AL6" s="257"/>
      <c r="AM6" s="492"/>
      <c r="AN6" s="492"/>
      <c r="AO6" s="488"/>
      <c r="AP6" s="270"/>
    </row>
    <row r="7" spans="1:42" ht="15.6" customHeight="1" thickBot="1" x14ac:dyDescent="0.35">
      <c r="A7" s="1">
        <v>2</v>
      </c>
      <c r="B7" s="590" t="s">
        <v>22</v>
      </c>
      <c r="C7" s="314">
        <f t="shared" ref="C7:C19" si="0">((D7+E7+F7+G7+H7+I7+J7+K7+L7+M7+N7+O7+P7)/13)</f>
        <v>18.384615384615383</v>
      </c>
      <c r="D7" s="493">
        <v>18</v>
      </c>
      <c r="E7" s="601">
        <v>18</v>
      </c>
      <c r="F7" s="600">
        <v>18</v>
      </c>
      <c r="G7" s="600">
        <v>18</v>
      </c>
      <c r="H7" s="600">
        <v>23</v>
      </c>
      <c r="I7" s="601">
        <v>18</v>
      </c>
      <c r="J7" s="494">
        <v>18</v>
      </c>
      <c r="K7" s="601">
        <v>18</v>
      </c>
      <c r="L7" s="601">
        <v>14</v>
      </c>
      <c r="M7" s="261">
        <v>18</v>
      </c>
      <c r="N7" s="495">
        <v>18</v>
      </c>
      <c r="O7" s="494">
        <v>18</v>
      </c>
      <c r="P7" s="601">
        <v>22</v>
      </c>
      <c r="Q7" s="261">
        <v>18</v>
      </c>
      <c r="R7" s="266"/>
      <c r="S7" s="266"/>
      <c r="T7" s="261"/>
      <c r="U7" s="264"/>
      <c r="V7" s="2">
        <v>16</v>
      </c>
      <c r="W7" s="579" t="s">
        <v>402</v>
      </c>
      <c r="X7" s="314">
        <f t="shared" ref="X7:X20" si="1">((Y7+Z7+AA7+AB7+AC7+AD7+AE7+AF7+AG7+AH7+AI7+AJ7+AK7)/13)</f>
        <v>23.076923076923077</v>
      </c>
      <c r="Y7" s="271">
        <v>30</v>
      </c>
      <c r="Z7" s="601">
        <v>18</v>
      </c>
      <c r="AA7" s="601">
        <v>30</v>
      </c>
      <c r="AB7" s="601">
        <v>18</v>
      </c>
      <c r="AC7" s="601">
        <v>18</v>
      </c>
      <c r="AD7" s="601">
        <v>0</v>
      </c>
      <c r="AE7" s="261">
        <v>35</v>
      </c>
      <c r="AF7" s="601">
        <v>35</v>
      </c>
      <c r="AG7" s="601">
        <v>23</v>
      </c>
      <c r="AH7" s="261">
        <v>30</v>
      </c>
      <c r="AI7" s="263">
        <v>35</v>
      </c>
      <c r="AJ7" s="261"/>
      <c r="AK7" s="601">
        <v>28</v>
      </c>
      <c r="AL7" s="261"/>
      <c r="AM7" s="266">
        <v>12</v>
      </c>
      <c r="AN7" s="266"/>
      <c r="AO7" s="274"/>
      <c r="AP7" s="272"/>
    </row>
    <row r="8" spans="1:42" ht="15.6" customHeight="1" thickBot="1" x14ac:dyDescent="0.35">
      <c r="A8" s="1">
        <v>3</v>
      </c>
      <c r="B8" s="18" t="s">
        <v>12</v>
      </c>
      <c r="C8" s="314">
        <f t="shared" si="0"/>
        <v>24.923076923076923</v>
      </c>
      <c r="D8" s="260">
        <v>18</v>
      </c>
      <c r="E8" s="601">
        <v>18</v>
      </c>
      <c r="F8" s="600">
        <v>18</v>
      </c>
      <c r="G8" s="600">
        <v>20</v>
      </c>
      <c r="H8" s="600">
        <v>22</v>
      </c>
      <c r="I8" s="606">
        <v>15</v>
      </c>
      <c r="J8" s="261">
        <v>35</v>
      </c>
      <c r="K8" s="601">
        <v>35</v>
      </c>
      <c r="L8" s="600">
        <v>35</v>
      </c>
      <c r="M8" s="496">
        <v>35</v>
      </c>
      <c r="N8" s="497">
        <v>30</v>
      </c>
      <c r="O8" s="261">
        <v>35</v>
      </c>
      <c r="P8" s="601">
        <v>8</v>
      </c>
      <c r="Q8" s="274"/>
      <c r="R8" s="266">
        <v>30</v>
      </c>
      <c r="S8" s="266"/>
      <c r="T8" s="261"/>
      <c r="U8" s="264"/>
      <c r="V8" s="1">
        <v>17</v>
      </c>
      <c r="W8" s="146" t="s">
        <v>129</v>
      </c>
      <c r="X8" s="314">
        <f t="shared" si="1"/>
        <v>33.692307692307693</v>
      </c>
      <c r="Y8" s="271">
        <v>33</v>
      </c>
      <c r="Z8" s="601">
        <v>35</v>
      </c>
      <c r="AA8" s="601">
        <v>33</v>
      </c>
      <c r="AB8" s="601">
        <v>35</v>
      </c>
      <c r="AC8" s="601">
        <v>34</v>
      </c>
      <c r="AD8" s="601">
        <v>35</v>
      </c>
      <c r="AE8" s="261">
        <v>30</v>
      </c>
      <c r="AF8" s="601">
        <v>35</v>
      </c>
      <c r="AG8" s="601">
        <v>35</v>
      </c>
      <c r="AH8" s="261">
        <v>28</v>
      </c>
      <c r="AI8" s="263">
        <v>35</v>
      </c>
      <c r="AJ8" s="261">
        <v>35</v>
      </c>
      <c r="AK8" s="601">
        <v>35</v>
      </c>
      <c r="AL8" s="261"/>
      <c r="AM8" s="266">
        <v>33</v>
      </c>
      <c r="AN8" s="266"/>
      <c r="AO8" s="274"/>
      <c r="AP8" s="272"/>
    </row>
    <row r="9" spans="1:42" ht="15.6" customHeight="1" thickBot="1" x14ac:dyDescent="0.35">
      <c r="A9" s="1">
        <v>4</v>
      </c>
      <c r="B9" s="27" t="s">
        <v>23</v>
      </c>
      <c r="C9" s="314">
        <f t="shared" si="0"/>
        <v>30.23076923076923</v>
      </c>
      <c r="D9" s="260">
        <v>35</v>
      </c>
      <c r="E9" s="601">
        <v>35</v>
      </c>
      <c r="F9" s="600">
        <v>28</v>
      </c>
      <c r="G9" s="600">
        <v>35</v>
      </c>
      <c r="H9" s="600">
        <v>35</v>
      </c>
      <c r="I9" s="601">
        <v>35</v>
      </c>
      <c r="J9" s="261">
        <v>18</v>
      </c>
      <c r="K9" s="601">
        <v>18</v>
      </c>
      <c r="L9" s="601">
        <v>21</v>
      </c>
      <c r="M9" s="265">
        <v>28</v>
      </c>
      <c r="N9" s="498">
        <v>35</v>
      </c>
      <c r="O9" s="265">
        <v>35</v>
      </c>
      <c r="P9" s="609">
        <v>35</v>
      </c>
      <c r="Q9" s="499"/>
      <c r="R9" s="266">
        <v>33</v>
      </c>
      <c r="S9" s="500"/>
      <c r="T9" s="261"/>
      <c r="U9" s="265"/>
      <c r="V9" s="2">
        <v>18</v>
      </c>
      <c r="W9" s="146" t="s">
        <v>28</v>
      </c>
      <c r="X9" s="314">
        <f t="shared" si="1"/>
        <v>34.846153846153847</v>
      </c>
      <c r="Y9" s="271">
        <v>33</v>
      </c>
      <c r="Z9" s="601">
        <v>35</v>
      </c>
      <c r="AA9" s="601">
        <v>35</v>
      </c>
      <c r="AB9" s="601">
        <v>35</v>
      </c>
      <c r="AC9" s="601">
        <v>35</v>
      </c>
      <c r="AD9" s="601">
        <v>35</v>
      </c>
      <c r="AE9" s="261">
        <v>35</v>
      </c>
      <c r="AF9" s="601">
        <v>35</v>
      </c>
      <c r="AG9" s="601">
        <v>35</v>
      </c>
      <c r="AH9" s="261">
        <v>35</v>
      </c>
      <c r="AI9" s="263">
        <v>35</v>
      </c>
      <c r="AJ9" s="265">
        <v>35</v>
      </c>
      <c r="AK9" s="601">
        <v>35</v>
      </c>
      <c r="AL9" s="261"/>
      <c r="AM9" s="266">
        <v>35</v>
      </c>
      <c r="AN9" s="266"/>
      <c r="AO9" s="274"/>
      <c r="AP9" s="272"/>
    </row>
    <row r="10" spans="1:42" ht="15.6" customHeight="1" thickBot="1" x14ac:dyDescent="0.35">
      <c r="A10" s="1">
        <v>5</v>
      </c>
      <c r="B10" s="18" t="s">
        <v>13</v>
      </c>
      <c r="C10" s="314">
        <f t="shared" si="0"/>
        <v>26.307692307692307</v>
      </c>
      <c r="D10" s="260">
        <v>18</v>
      </c>
      <c r="E10" s="601">
        <v>18</v>
      </c>
      <c r="F10" s="600">
        <v>30</v>
      </c>
      <c r="G10" s="600">
        <v>18</v>
      </c>
      <c r="H10" s="600">
        <v>31</v>
      </c>
      <c r="I10" s="601">
        <v>35</v>
      </c>
      <c r="J10" s="261">
        <v>30</v>
      </c>
      <c r="K10" s="601">
        <v>18</v>
      </c>
      <c r="L10" s="608">
        <v>21</v>
      </c>
      <c r="M10" s="274">
        <v>30</v>
      </c>
      <c r="N10" s="263">
        <v>28</v>
      </c>
      <c r="O10" s="261">
        <v>30</v>
      </c>
      <c r="P10" s="601">
        <v>35</v>
      </c>
      <c r="Q10" s="274"/>
      <c r="R10" s="266">
        <v>20</v>
      </c>
      <c r="S10" s="266"/>
      <c r="T10" s="261"/>
      <c r="U10" s="264"/>
      <c r="V10" s="2">
        <v>19</v>
      </c>
      <c r="W10" s="590" t="s">
        <v>403</v>
      </c>
      <c r="X10" s="314">
        <f t="shared" si="1"/>
        <v>14.307692307692308</v>
      </c>
      <c r="Y10" s="271"/>
      <c r="Z10" s="627">
        <v>18</v>
      </c>
      <c r="AA10" s="627">
        <v>18</v>
      </c>
      <c r="AB10" s="601">
        <v>28</v>
      </c>
      <c r="AC10" s="601"/>
      <c r="AD10" s="601">
        <v>30</v>
      </c>
      <c r="AE10" s="261">
        <v>18</v>
      </c>
      <c r="AF10" s="627">
        <v>18</v>
      </c>
      <c r="AG10" s="601"/>
      <c r="AH10" s="261">
        <v>28</v>
      </c>
      <c r="AI10" s="263"/>
      <c r="AJ10" s="266"/>
      <c r="AK10" s="601">
        <v>28</v>
      </c>
      <c r="AL10" s="261">
        <v>18</v>
      </c>
      <c r="AM10" s="266"/>
      <c r="AN10" s="266"/>
      <c r="AO10" s="274"/>
      <c r="AP10" s="272"/>
    </row>
    <row r="11" spans="1:42" ht="15.6" customHeight="1" thickBot="1" x14ac:dyDescent="0.35">
      <c r="A11" s="1">
        <v>6</v>
      </c>
      <c r="B11" s="18" t="s">
        <v>52</v>
      </c>
      <c r="C11" s="314">
        <f t="shared" si="0"/>
        <v>21.846153846153847</v>
      </c>
      <c r="D11" s="260">
        <v>30</v>
      </c>
      <c r="E11" s="601">
        <v>33</v>
      </c>
      <c r="F11" s="600">
        <v>18</v>
      </c>
      <c r="G11" s="600">
        <v>30</v>
      </c>
      <c r="H11" s="600">
        <v>30</v>
      </c>
      <c r="I11" s="601">
        <v>30</v>
      </c>
      <c r="J11" s="261"/>
      <c r="K11" s="604">
        <v>21</v>
      </c>
      <c r="L11" s="601">
        <v>28</v>
      </c>
      <c r="M11" s="261">
        <v>28</v>
      </c>
      <c r="N11" s="497"/>
      <c r="O11" s="261">
        <v>18</v>
      </c>
      <c r="P11" s="601">
        <v>18</v>
      </c>
      <c r="Q11" s="496"/>
      <c r="R11" s="266"/>
      <c r="S11" s="266"/>
      <c r="T11" s="261"/>
      <c r="U11" s="264"/>
      <c r="V11" s="1">
        <v>20</v>
      </c>
      <c r="W11" s="146" t="s">
        <v>18</v>
      </c>
      <c r="X11" s="314">
        <f t="shared" si="1"/>
        <v>31.53846153846154</v>
      </c>
      <c r="Y11" s="271">
        <v>30</v>
      </c>
      <c r="Z11" s="601">
        <v>35</v>
      </c>
      <c r="AA11" s="601">
        <v>30</v>
      </c>
      <c r="AB11" s="601">
        <v>35</v>
      </c>
      <c r="AC11" s="601">
        <v>30</v>
      </c>
      <c r="AD11" s="601">
        <v>30</v>
      </c>
      <c r="AE11" s="261">
        <v>30</v>
      </c>
      <c r="AF11" s="601">
        <v>35</v>
      </c>
      <c r="AG11" s="601">
        <v>28</v>
      </c>
      <c r="AH11" s="261">
        <v>28</v>
      </c>
      <c r="AI11" s="263">
        <v>35</v>
      </c>
      <c r="AJ11" s="261">
        <v>29</v>
      </c>
      <c r="AK11" s="601">
        <v>35</v>
      </c>
      <c r="AL11" s="261"/>
      <c r="AM11" s="266">
        <v>30</v>
      </c>
      <c r="AN11" s="266"/>
      <c r="AO11" s="274"/>
      <c r="AP11" s="272"/>
    </row>
    <row r="12" spans="1:42" ht="15.6" customHeight="1" thickBot="1" x14ac:dyDescent="0.35">
      <c r="A12" s="1">
        <v>7</v>
      </c>
      <c r="B12" s="579" t="s">
        <v>399</v>
      </c>
      <c r="C12" s="314">
        <f t="shared" si="0"/>
        <v>18.615384615384617</v>
      </c>
      <c r="D12" s="501"/>
      <c r="E12" s="601">
        <v>18</v>
      </c>
      <c r="F12" s="600">
        <v>28</v>
      </c>
      <c r="G12" s="608">
        <v>18</v>
      </c>
      <c r="H12" s="600">
        <v>28</v>
      </c>
      <c r="I12" s="604">
        <v>0</v>
      </c>
      <c r="J12" s="668">
        <v>18</v>
      </c>
      <c r="K12" s="601">
        <v>30</v>
      </c>
      <c r="L12" s="603">
        <v>28</v>
      </c>
      <c r="M12" s="494">
        <v>21</v>
      </c>
      <c r="N12" s="495"/>
      <c r="O12" s="494">
        <v>18</v>
      </c>
      <c r="P12" s="601">
        <v>35</v>
      </c>
      <c r="Q12" s="494"/>
      <c r="R12" s="266"/>
      <c r="S12" s="266"/>
      <c r="T12" s="261"/>
      <c r="U12" s="264"/>
      <c r="V12" s="2">
        <v>21</v>
      </c>
      <c r="W12" s="592" t="s">
        <v>404</v>
      </c>
      <c r="X12" s="314">
        <f t="shared" si="1"/>
        <v>13.23076923076923</v>
      </c>
      <c r="Y12" s="504">
        <v>18</v>
      </c>
      <c r="Z12" s="668">
        <v>18</v>
      </c>
      <c r="AA12" s="601">
        <v>18</v>
      </c>
      <c r="AB12" s="668">
        <v>18</v>
      </c>
      <c r="AC12" s="668">
        <v>18</v>
      </c>
      <c r="AD12" s="601">
        <v>0</v>
      </c>
      <c r="AE12" s="261"/>
      <c r="AF12" s="668">
        <v>18</v>
      </c>
      <c r="AG12" s="668">
        <v>18</v>
      </c>
      <c r="AH12" s="627">
        <v>18</v>
      </c>
      <c r="AI12" s="263"/>
      <c r="AJ12" s="494"/>
      <c r="AK12" s="602">
        <v>28</v>
      </c>
      <c r="AL12" s="494"/>
      <c r="AM12" s="266"/>
      <c r="AN12" s="266"/>
      <c r="AO12" s="274"/>
      <c r="AP12" s="272"/>
    </row>
    <row r="13" spans="1:42" ht="15.6" customHeight="1" thickBot="1" x14ac:dyDescent="0.35">
      <c r="A13" s="1">
        <v>8</v>
      </c>
      <c r="B13" s="146" t="s">
        <v>14</v>
      </c>
      <c r="C13" s="314">
        <f t="shared" si="0"/>
        <v>33.846153846153847</v>
      </c>
      <c r="D13" s="267">
        <v>30</v>
      </c>
      <c r="E13" s="601">
        <v>35</v>
      </c>
      <c r="F13" s="600">
        <v>35</v>
      </c>
      <c r="G13" s="600">
        <v>35</v>
      </c>
      <c r="H13" s="600">
        <v>35</v>
      </c>
      <c r="I13" s="601">
        <v>35</v>
      </c>
      <c r="J13" s="261">
        <v>28</v>
      </c>
      <c r="K13" s="601">
        <v>35</v>
      </c>
      <c r="L13" s="601">
        <v>35</v>
      </c>
      <c r="M13" s="261">
        <v>32</v>
      </c>
      <c r="N13" s="263">
        <v>35</v>
      </c>
      <c r="O13" s="261">
        <v>35</v>
      </c>
      <c r="P13" s="601">
        <v>35</v>
      </c>
      <c r="Q13" s="274"/>
      <c r="R13" s="266">
        <v>30</v>
      </c>
      <c r="S13" s="266"/>
      <c r="T13" s="261"/>
      <c r="U13" s="264"/>
      <c r="V13" s="2">
        <v>22</v>
      </c>
      <c r="W13" s="146" t="s">
        <v>30</v>
      </c>
      <c r="X13" s="314">
        <f t="shared" si="1"/>
        <v>13</v>
      </c>
      <c r="Y13" s="504"/>
      <c r="Z13" s="601">
        <v>35</v>
      </c>
      <c r="AA13" s="601">
        <v>0</v>
      </c>
      <c r="AB13" s="601">
        <v>30</v>
      </c>
      <c r="AC13" s="601">
        <v>18</v>
      </c>
      <c r="AD13" s="601">
        <v>0</v>
      </c>
      <c r="AE13" s="261">
        <v>28</v>
      </c>
      <c r="AF13" s="601"/>
      <c r="AG13" s="601"/>
      <c r="AH13" s="261"/>
      <c r="AI13" s="263"/>
      <c r="AJ13" s="261">
        <v>35</v>
      </c>
      <c r="AK13" s="601">
        <v>23</v>
      </c>
      <c r="AL13" s="494">
        <v>30</v>
      </c>
      <c r="AM13" s="266"/>
      <c r="AN13" s="266"/>
      <c r="AO13" s="274"/>
      <c r="AP13" s="272"/>
    </row>
    <row r="14" spans="1:42" ht="15.6" customHeight="1" thickBot="1" x14ac:dyDescent="0.35">
      <c r="A14" s="1">
        <v>9</v>
      </c>
      <c r="B14" s="18" t="s">
        <v>51</v>
      </c>
      <c r="C14" s="314">
        <f t="shared" si="0"/>
        <v>22</v>
      </c>
      <c r="D14" s="267">
        <v>18</v>
      </c>
      <c r="E14" s="601">
        <v>7</v>
      </c>
      <c r="F14" s="600">
        <v>30</v>
      </c>
      <c r="G14" s="600">
        <v>18</v>
      </c>
      <c r="H14" s="600">
        <v>18</v>
      </c>
      <c r="I14" s="601">
        <v>35</v>
      </c>
      <c r="J14" s="261">
        <v>30</v>
      </c>
      <c r="K14" s="601">
        <v>18</v>
      </c>
      <c r="L14" s="600">
        <v>21</v>
      </c>
      <c r="M14" s="261">
        <v>21</v>
      </c>
      <c r="N14" s="263"/>
      <c r="O14" s="261">
        <v>35</v>
      </c>
      <c r="P14" s="601">
        <v>35</v>
      </c>
      <c r="Q14" s="261"/>
      <c r="R14" s="266">
        <v>22</v>
      </c>
      <c r="S14" s="266"/>
      <c r="T14" s="261"/>
      <c r="U14" s="264"/>
      <c r="V14" s="1">
        <v>23</v>
      </c>
      <c r="W14" s="146" t="s">
        <v>19</v>
      </c>
      <c r="X14" s="314">
        <f t="shared" si="1"/>
        <v>16.692307692307693</v>
      </c>
      <c r="Y14" s="504"/>
      <c r="Z14" s="601">
        <v>35</v>
      </c>
      <c r="AA14" s="601">
        <v>18</v>
      </c>
      <c r="AB14" s="601">
        <v>30</v>
      </c>
      <c r="AC14" s="601"/>
      <c r="AD14" s="601">
        <v>0</v>
      </c>
      <c r="AE14" s="261">
        <v>18</v>
      </c>
      <c r="AF14" s="601">
        <v>20</v>
      </c>
      <c r="AG14" s="601">
        <v>28</v>
      </c>
      <c r="AH14" s="261">
        <v>28</v>
      </c>
      <c r="AI14" s="263">
        <v>12</v>
      </c>
      <c r="AJ14" s="261"/>
      <c r="AK14" s="601">
        <v>28</v>
      </c>
      <c r="AL14" s="261"/>
      <c r="AM14" s="266">
        <v>18</v>
      </c>
      <c r="AN14" s="262"/>
      <c r="AO14" s="274"/>
      <c r="AP14" s="272"/>
    </row>
    <row r="15" spans="1:42" ht="15.6" customHeight="1" thickBot="1" x14ac:dyDescent="0.35">
      <c r="A15" s="1">
        <v>10</v>
      </c>
      <c r="B15" s="580" t="s">
        <v>400</v>
      </c>
      <c r="C15" s="314">
        <f t="shared" si="0"/>
        <v>14.538461538461538</v>
      </c>
      <c r="D15" s="260">
        <v>15</v>
      </c>
      <c r="E15" s="601">
        <v>18</v>
      </c>
      <c r="F15" s="600">
        <v>15</v>
      </c>
      <c r="G15" s="600">
        <v>18</v>
      </c>
      <c r="H15" s="600">
        <v>19</v>
      </c>
      <c r="I15" s="601">
        <v>5</v>
      </c>
      <c r="J15" s="261">
        <v>9</v>
      </c>
      <c r="K15" s="601">
        <v>18</v>
      </c>
      <c r="L15" s="629">
        <v>11</v>
      </c>
      <c r="M15" s="627">
        <v>18</v>
      </c>
      <c r="N15" s="263">
        <v>18</v>
      </c>
      <c r="O15" s="627">
        <v>12</v>
      </c>
      <c r="P15" s="601">
        <v>13</v>
      </c>
      <c r="Q15" s="261"/>
      <c r="R15" s="266"/>
      <c r="S15" s="262"/>
      <c r="T15" s="261"/>
      <c r="U15" s="264"/>
      <c r="V15" s="2">
        <v>24</v>
      </c>
      <c r="W15" s="18" t="s">
        <v>33</v>
      </c>
      <c r="X15" s="314">
        <f t="shared" si="1"/>
        <v>0</v>
      </c>
      <c r="Y15" s="505"/>
      <c r="Z15" s="603"/>
      <c r="AA15" s="602"/>
      <c r="AB15" s="602"/>
      <c r="AC15" s="602"/>
      <c r="AD15" s="602">
        <v>0</v>
      </c>
      <c r="AE15" s="494"/>
      <c r="AF15" s="602"/>
      <c r="AG15" s="602"/>
      <c r="AH15" s="494"/>
      <c r="AI15" s="495"/>
      <c r="AJ15" s="494"/>
      <c r="AK15" s="602"/>
      <c r="AL15" s="494"/>
      <c r="AM15" s="262"/>
      <c r="AN15" s="262"/>
      <c r="AO15" s="274"/>
      <c r="AP15" s="272"/>
    </row>
    <row r="16" spans="1:42" ht="15.6" customHeight="1" thickBot="1" x14ac:dyDescent="0.35">
      <c r="A16" s="1">
        <v>11</v>
      </c>
      <c r="B16" s="146" t="s">
        <v>25</v>
      </c>
      <c r="C16" s="314">
        <f t="shared" si="0"/>
        <v>21.53846153846154</v>
      </c>
      <c r="D16" s="656">
        <v>18</v>
      </c>
      <c r="E16" s="601">
        <v>18</v>
      </c>
      <c r="F16" s="600">
        <v>18</v>
      </c>
      <c r="G16" s="600">
        <v>20</v>
      </c>
      <c r="H16" s="600">
        <v>30</v>
      </c>
      <c r="I16" s="601">
        <v>30</v>
      </c>
      <c r="J16" s="657">
        <v>18</v>
      </c>
      <c r="K16" s="606">
        <v>18</v>
      </c>
      <c r="L16" s="602">
        <v>21</v>
      </c>
      <c r="M16" s="494">
        <v>18</v>
      </c>
      <c r="N16" s="670">
        <v>18</v>
      </c>
      <c r="O16" s="261">
        <v>18</v>
      </c>
      <c r="P16" s="602">
        <v>35</v>
      </c>
      <c r="Q16" s="494"/>
      <c r="R16" s="266"/>
      <c r="S16" s="266"/>
      <c r="T16" s="261"/>
      <c r="U16" s="264"/>
      <c r="V16" s="2">
        <v>25</v>
      </c>
      <c r="W16" s="146" t="s">
        <v>20</v>
      </c>
      <c r="X16" s="314">
        <f t="shared" si="1"/>
        <v>18.384615384615383</v>
      </c>
      <c r="Y16" s="273">
        <v>18</v>
      </c>
      <c r="Z16" s="601"/>
      <c r="AA16" s="601">
        <v>18</v>
      </c>
      <c r="AB16" s="604"/>
      <c r="AC16" s="601">
        <v>12</v>
      </c>
      <c r="AD16" s="601">
        <v>25</v>
      </c>
      <c r="AE16" s="261">
        <v>35</v>
      </c>
      <c r="AF16" s="627">
        <v>18</v>
      </c>
      <c r="AG16" s="601">
        <v>14</v>
      </c>
      <c r="AH16" s="261">
        <v>28</v>
      </c>
      <c r="AI16" s="263">
        <v>18</v>
      </c>
      <c r="AJ16" s="261">
        <v>35</v>
      </c>
      <c r="AK16" s="601">
        <v>18</v>
      </c>
      <c r="AL16" s="494"/>
      <c r="AM16" s="266">
        <v>28</v>
      </c>
      <c r="AN16" s="266"/>
      <c r="AO16" s="274"/>
      <c r="AP16" s="272"/>
    </row>
    <row r="17" spans="1:42" ht="15.6" customHeight="1" thickBot="1" x14ac:dyDescent="0.35">
      <c r="A17" s="1">
        <v>12</v>
      </c>
      <c r="B17" s="587" t="s">
        <v>15</v>
      </c>
      <c r="C17" s="314">
        <f t="shared" si="0"/>
        <v>20.53846153846154</v>
      </c>
      <c r="D17" s="493">
        <v>18</v>
      </c>
      <c r="E17" s="601">
        <v>35</v>
      </c>
      <c r="F17" s="600">
        <v>12</v>
      </c>
      <c r="G17" s="608">
        <v>18</v>
      </c>
      <c r="H17" s="629">
        <v>15</v>
      </c>
      <c r="I17" s="601">
        <v>5</v>
      </c>
      <c r="J17" s="496">
        <v>18</v>
      </c>
      <c r="K17" s="606">
        <v>35</v>
      </c>
      <c r="L17" s="629">
        <v>18</v>
      </c>
      <c r="M17" s="261">
        <v>28</v>
      </c>
      <c r="N17" s="502">
        <v>18</v>
      </c>
      <c r="O17" s="645">
        <v>12</v>
      </c>
      <c r="P17" s="604">
        <v>35</v>
      </c>
      <c r="Q17" s="496"/>
      <c r="R17" s="266">
        <v>18</v>
      </c>
      <c r="S17" s="266"/>
      <c r="T17" s="261"/>
      <c r="U17" s="264"/>
      <c r="V17" s="1">
        <v>26</v>
      </c>
      <c r="W17" s="580" t="s">
        <v>405</v>
      </c>
      <c r="X17" s="314">
        <f t="shared" si="1"/>
        <v>24.23076923076923</v>
      </c>
      <c r="Y17" s="273">
        <v>35</v>
      </c>
      <c r="Z17" s="601">
        <v>30</v>
      </c>
      <c r="AA17" s="601">
        <v>30</v>
      </c>
      <c r="AB17" s="601">
        <v>35</v>
      </c>
      <c r="AC17" s="668">
        <v>18</v>
      </c>
      <c r="AD17" s="601">
        <v>28</v>
      </c>
      <c r="AE17" s="261">
        <v>32</v>
      </c>
      <c r="AF17" s="601">
        <v>25</v>
      </c>
      <c r="AG17" s="601">
        <v>22</v>
      </c>
      <c r="AH17" s="261">
        <v>14</v>
      </c>
      <c r="AI17" s="495">
        <v>0</v>
      </c>
      <c r="AJ17" s="261">
        <v>18</v>
      </c>
      <c r="AK17" s="601">
        <v>28</v>
      </c>
      <c r="AL17" s="494"/>
      <c r="AM17" s="266">
        <v>18</v>
      </c>
      <c r="AN17" s="266"/>
      <c r="AO17" s="274"/>
      <c r="AP17" s="272"/>
    </row>
    <row r="18" spans="1:42" ht="15.6" customHeight="1" thickBot="1" x14ac:dyDescent="0.35">
      <c r="A18" s="1">
        <v>13</v>
      </c>
      <c r="B18" s="146" t="s">
        <v>26</v>
      </c>
      <c r="C18" s="314">
        <f t="shared" si="0"/>
        <v>33.92307692307692</v>
      </c>
      <c r="D18" s="667">
        <v>35</v>
      </c>
      <c r="E18" s="601">
        <v>30</v>
      </c>
      <c r="F18" s="601">
        <v>30</v>
      </c>
      <c r="G18" s="601">
        <v>35</v>
      </c>
      <c r="H18" s="601">
        <v>35</v>
      </c>
      <c r="I18" s="601">
        <v>35</v>
      </c>
      <c r="J18" s="261">
        <v>33</v>
      </c>
      <c r="K18" s="601">
        <v>35</v>
      </c>
      <c r="L18" s="601">
        <v>35</v>
      </c>
      <c r="M18" s="261">
        <v>33</v>
      </c>
      <c r="N18" s="274">
        <v>35</v>
      </c>
      <c r="O18" s="261">
        <v>35</v>
      </c>
      <c r="P18" s="601">
        <v>35</v>
      </c>
      <c r="Q18" s="274"/>
      <c r="R18" s="266">
        <v>22</v>
      </c>
      <c r="S18" s="266"/>
      <c r="T18" s="261"/>
      <c r="U18" s="264"/>
      <c r="V18" s="2">
        <v>27</v>
      </c>
      <c r="W18" s="146" t="s">
        <v>21</v>
      </c>
      <c r="X18" s="314">
        <f t="shared" si="1"/>
        <v>13.307692307692308</v>
      </c>
      <c r="Y18" s="506">
        <v>0</v>
      </c>
      <c r="Z18" s="601">
        <v>18</v>
      </c>
      <c r="AA18" s="627">
        <v>18</v>
      </c>
      <c r="AB18" s="627">
        <v>18</v>
      </c>
      <c r="AC18" s="627">
        <v>18</v>
      </c>
      <c r="AD18" s="627">
        <v>18</v>
      </c>
      <c r="AE18" s="261"/>
      <c r="AF18" s="627">
        <v>18</v>
      </c>
      <c r="AG18" s="645">
        <v>12</v>
      </c>
      <c r="AH18" s="627">
        <v>18</v>
      </c>
      <c r="AI18" s="496"/>
      <c r="AJ18" s="496"/>
      <c r="AK18" s="601">
        <v>35</v>
      </c>
      <c r="AL18" s="494"/>
      <c r="AM18" s="3"/>
      <c r="AN18" s="3"/>
      <c r="AO18" s="274"/>
      <c r="AP18" s="272"/>
    </row>
    <row r="19" spans="1:42" ht="15.6" customHeight="1" thickBot="1" x14ac:dyDescent="0.35">
      <c r="A19" s="1">
        <v>14</v>
      </c>
      <c r="B19" s="146" t="s">
        <v>16</v>
      </c>
      <c r="C19" s="314">
        <f t="shared" si="0"/>
        <v>35</v>
      </c>
      <c r="D19" s="261">
        <v>35</v>
      </c>
      <c r="E19" s="601">
        <v>35</v>
      </c>
      <c r="F19" s="601">
        <v>35</v>
      </c>
      <c r="G19" s="606">
        <v>35</v>
      </c>
      <c r="H19" s="601">
        <v>35</v>
      </c>
      <c r="I19" s="601">
        <v>35</v>
      </c>
      <c r="J19" s="261">
        <v>35</v>
      </c>
      <c r="K19" s="601">
        <v>35</v>
      </c>
      <c r="L19" s="601">
        <v>35</v>
      </c>
      <c r="M19" s="261">
        <v>35</v>
      </c>
      <c r="N19" s="261">
        <v>35</v>
      </c>
      <c r="O19" s="261">
        <v>35</v>
      </c>
      <c r="P19" s="601">
        <v>35</v>
      </c>
      <c r="Q19" s="274"/>
      <c r="R19" s="266"/>
      <c r="S19" s="266"/>
      <c r="T19" s="261"/>
      <c r="U19" s="264"/>
      <c r="V19" s="2">
        <v>28</v>
      </c>
      <c r="W19" s="296" t="s">
        <v>63</v>
      </c>
      <c r="X19" s="314">
        <f t="shared" si="1"/>
        <v>32</v>
      </c>
      <c r="Y19" s="507">
        <v>35</v>
      </c>
      <c r="Z19" s="605">
        <v>35</v>
      </c>
      <c r="AA19" s="605">
        <v>30</v>
      </c>
      <c r="AB19" s="605">
        <v>35</v>
      </c>
      <c r="AC19" s="605">
        <v>30</v>
      </c>
      <c r="AD19" s="605">
        <v>35</v>
      </c>
      <c r="AE19" s="291">
        <v>30</v>
      </c>
      <c r="AF19" s="605">
        <v>35</v>
      </c>
      <c r="AG19" s="607">
        <v>28</v>
      </c>
      <c r="AH19" s="291">
        <v>28</v>
      </c>
      <c r="AI19" s="291">
        <v>30</v>
      </c>
      <c r="AJ19" s="291">
        <v>30</v>
      </c>
      <c r="AK19" s="607">
        <v>35</v>
      </c>
      <c r="AL19" s="291"/>
      <c r="AM19" s="508"/>
      <c r="AN19" s="508"/>
      <c r="AO19" s="292"/>
      <c r="AP19" s="293"/>
    </row>
    <row r="20" spans="1:42" ht="15.6" customHeight="1" thickBot="1" x14ac:dyDescent="0.35">
      <c r="B20" s="73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301">
        <v>29</v>
      </c>
      <c r="W20" s="18" t="s">
        <v>303</v>
      </c>
      <c r="X20" s="314">
        <f t="shared" si="1"/>
        <v>12.846153846153847</v>
      </c>
      <c r="Y20" s="272"/>
      <c r="Z20" s="606">
        <v>30</v>
      </c>
      <c r="AA20" s="606"/>
      <c r="AB20" s="606"/>
      <c r="AC20" s="606">
        <v>10</v>
      </c>
      <c r="AD20" s="606">
        <v>0</v>
      </c>
      <c r="AE20" s="274">
        <v>32</v>
      </c>
      <c r="AF20" s="606"/>
      <c r="AG20" s="606">
        <v>28</v>
      </c>
      <c r="AH20" s="274">
        <v>21</v>
      </c>
      <c r="AI20" s="494"/>
      <c r="AJ20" s="274">
        <v>28</v>
      </c>
      <c r="AK20" s="602">
        <v>18</v>
      </c>
      <c r="AL20" s="274"/>
      <c r="AM20" s="3"/>
      <c r="AN20" s="3"/>
      <c r="AO20" s="274"/>
      <c r="AP20" s="82"/>
    </row>
    <row r="21" spans="1:42" ht="21" x14ac:dyDescent="0.3">
      <c r="A21" s="757" t="s">
        <v>146</v>
      </c>
      <c r="B21" s="757"/>
      <c r="C21" s="757"/>
      <c r="D21" s="757"/>
      <c r="E21" s="757"/>
      <c r="F21" s="757"/>
      <c r="G21" s="757"/>
      <c r="H21" s="757"/>
      <c r="I21" s="757"/>
      <c r="J21" s="757"/>
      <c r="K21" s="757"/>
      <c r="L21" s="757"/>
      <c r="M21" s="757"/>
      <c r="N21" s="757"/>
      <c r="O21" s="757"/>
      <c r="P21" s="757"/>
      <c r="Q21" s="757"/>
      <c r="R21" s="757"/>
      <c r="S21" s="757"/>
      <c r="T21" s="757"/>
      <c r="U21" s="757"/>
      <c r="V21" s="757"/>
      <c r="W21" s="757"/>
      <c r="X21" s="757"/>
      <c r="Y21" s="757"/>
      <c r="Z21" s="757"/>
      <c r="AA21" s="757"/>
      <c r="AB21" s="757"/>
      <c r="AC21" s="757"/>
      <c r="AD21" s="757"/>
      <c r="AE21" s="757"/>
      <c r="AF21" s="757"/>
      <c r="AG21" s="757"/>
      <c r="AH21" s="757"/>
      <c r="AI21" s="757"/>
      <c r="AJ21" s="757"/>
      <c r="AK21" s="757"/>
      <c r="AL21" s="757"/>
      <c r="AM21" s="757"/>
      <c r="AN21" s="757"/>
      <c r="AO21" s="757"/>
      <c r="AP21" s="757"/>
    </row>
    <row r="22" spans="1:42" ht="18" x14ac:dyDescent="0.3">
      <c r="A22" s="758" t="s">
        <v>34</v>
      </c>
      <c r="B22" s="759"/>
      <c r="C22" s="760" t="s">
        <v>1</v>
      </c>
      <c r="D22" s="771" t="s">
        <v>53</v>
      </c>
      <c r="E22" s="771"/>
      <c r="F22" s="771"/>
      <c r="G22" s="771"/>
      <c r="H22" s="771"/>
      <c r="I22" s="771"/>
      <c r="J22" s="771"/>
      <c r="K22" s="771"/>
      <c r="L22" s="771"/>
      <c r="M22" s="771"/>
      <c r="N22" s="771"/>
      <c r="O22" s="771"/>
      <c r="P22" s="771"/>
      <c r="Q22" s="771"/>
      <c r="R22" s="771"/>
      <c r="S22" s="771"/>
      <c r="T22" s="771"/>
      <c r="U22" s="771"/>
      <c r="V22" s="762" t="s">
        <v>34</v>
      </c>
      <c r="W22" s="759"/>
      <c r="X22" s="760" t="s">
        <v>1</v>
      </c>
      <c r="Y22" s="771" t="s">
        <v>53</v>
      </c>
      <c r="Z22" s="771"/>
      <c r="AA22" s="771"/>
      <c r="AB22" s="771"/>
      <c r="AC22" s="771"/>
      <c r="AD22" s="771"/>
      <c r="AE22" s="771"/>
      <c r="AF22" s="771"/>
      <c r="AG22" s="771"/>
      <c r="AH22" s="771"/>
      <c r="AI22" s="771"/>
      <c r="AJ22" s="771"/>
      <c r="AK22" s="771"/>
      <c r="AL22" s="771"/>
      <c r="AM22" s="771"/>
      <c r="AN22" s="771"/>
      <c r="AO22" s="771"/>
      <c r="AP22" s="771"/>
    </row>
    <row r="23" spans="1:42" x14ac:dyDescent="0.3">
      <c r="A23" s="758"/>
      <c r="B23" s="759"/>
      <c r="C23" s="760"/>
      <c r="D23" s="446">
        <v>1</v>
      </c>
      <c r="E23" s="95">
        <v>2</v>
      </c>
      <c r="F23" s="95">
        <v>3</v>
      </c>
      <c r="G23" s="95">
        <v>4</v>
      </c>
      <c r="H23" s="95">
        <v>5</v>
      </c>
      <c r="I23" s="95">
        <v>6</v>
      </c>
      <c r="J23" s="95">
        <v>7</v>
      </c>
      <c r="K23" s="95">
        <v>8</v>
      </c>
      <c r="L23" s="95">
        <v>9</v>
      </c>
      <c r="M23" s="95">
        <v>10</v>
      </c>
      <c r="N23" s="95">
        <v>11</v>
      </c>
      <c r="O23" s="95">
        <v>12</v>
      </c>
      <c r="P23" s="95">
        <v>13</v>
      </c>
      <c r="Q23" s="95">
        <v>14</v>
      </c>
      <c r="R23" s="95">
        <v>15</v>
      </c>
      <c r="S23" s="95">
        <v>16</v>
      </c>
      <c r="T23" s="95">
        <v>17</v>
      </c>
      <c r="U23" s="95">
        <v>18</v>
      </c>
      <c r="V23" s="762"/>
      <c r="W23" s="759"/>
      <c r="X23" s="760"/>
      <c r="Y23" s="446">
        <v>1</v>
      </c>
      <c r="Z23" s="95">
        <v>2</v>
      </c>
      <c r="AA23" s="95">
        <v>3</v>
      </c>
      <c r="AB23" s="95">
        <v>4</v>
      </c>
      <c r="AC23" s="95">
        <v>5</v>
      </c>
      <c r="AD23" s="95">
        <v>6</v>
      </c>
      <c r="AE23" s="95">
        <v>7</v>
      </c>
      <c r="AF23" s="95">
        <v>8</v>
      </c>
      <c r="AG23" s="95">
        <v>9</v>
      </c>
      <c r="AH23" s="95">
        <v>10</v>
      </c>
      <c r="AI23" s="95">
        <v>11</v>
      </c>
      <c r="AJ23" s="72">
        <v>12</v>
      </c>
      <c r="AK23" s="72">
        <v>13</v>
      </c>
      <c r="AL23" s="72">
        <v>14</v>
      </c>
      <c r="AM23" s="72">
        <v>15</v>
      </c>
      <c r="AN23" s="72">
        <v>16</v>
      </c>
      <c r="AO23" s="72">
        <v>17</v>
      </c>
      <c r="AP23" s="72">
        <v>18</v>
      </c>
    </row>
    <row r="24" spans="1:42" x14ac:dyDescent="0.3">
      <c r="A24" s="758"/>
      <c r="B24" s="759"/>
      <c r="C24" s="760"/>
      <c r="D24" s="763" t="s">
        <v>3</v>
      </c>
      <c r="E24" s="764"/>
      <c r="F24" s="764"/>
      <c r="G24" s="764"/>
      <c r="H24" s="764"/>
      <c r="I24" s="764"/>
      <c r="J24" s="764"/>
      <c r="K24" s="764"/>
      <c r="L24" s="764"/>
      <c r="M24" s="764"/>
      <c r="N24" s="764"/>
      <c r="O24" s="764"/>
      <c r="P24" s="764"/>
      <c r="Q24" s="764"/>
      <c r="R24" s="765"/>
      <c r="S24" s="74"/>
      <c r="T24" s="76"/>
      <c r="U24" s="76"/>
      <c r="V24" s="762"/>
      <c r="W24" s="759"/>
      <c r="X24" s="760"/>
      <c r="Y24" s="766" t="s">
        <v>3</v>
      </c>
      <c r="Z24" s="766"/>
      <c r="AA24" s="766"/>
      <c r="AB24" s="766"/>
      <c r="AC24" s="766"/>
      <c r="AD24" s="766"/>
      <c r="AE24" s="766"/>
      <c r="AF24" s="766"/>
      <c r="AG24" s="766"/>
      <c r="AH24" s="766"/>
      <c r="AI24" s="766"/>
      <c r="AJ24" s="766"/>
      <c r="AK24" s="766"/>
      <c r="AL24" s="766"/>
      <c r="AM24" s="766"/>
      <c r="AN24" s="77"/>
      <c r="AO24" s="77"/>
      <c r="AP24" s="77"/>
    </row>
    <row r="25" spans="1:42" ht="125.4" customHeight="1" x14ac:dyDescent="0.3">
      <c r="A25" s="758"/>
      <c r="B25" s="759"/>
      <c r="C25" s="760"/>
      <c r="D25" s="610" t="s">
        <v>355</v>
      </c>
      <c r="E25" s="325" t="s">
        <v>362</v>
      </c>
      <c r="F25" s="325" t="s">
        <v>363</v>
      </c>
      <c r="G25" s="137" t="s">
        <v>371</v>
      </c>
      <c r="H25" s="325" t="s">
        <v>372</v>
      </c>
      <c r="I25" s="308" t="s">
        <v>373</v>
      </c>
      <c r="J25" s="596" t="s">
        <v>377</v>
      </c>
      <c r="K25" s="611" t="s">
        <v>380</v>
      </c>
      <c r="L25" s="539" t="s">
        <v>381</v>
      </c>
      <c r="M25" s="613" t="s">
        <v>383</v>
      </c>
      <c r="N25" s="312" t="s">
        <v>390</v>
      </c>
      <c r="O25" s="612" t="s">
        <v>131</v>
      </c>
      <c r="P25" s="321"/>
      <c r="Q25" s="75"/>
      <c r="R25" s="96"/>
      <c r="S25" s="96"/>
      <c r="T25" s="96"/>
      <c r="U25" s="96"/>
      <c r="V25" s="762"/>
      <c r="W25" s="759"/>
      <c r="X25" s="760"/>
      <c r="Y25" s="610" t="s">
        <v>355</v>
      </c>
      <c r="Z25" s="325" t="s">
        <v>362</v>
      </c>
      <c r="AA25" s="325" t="s">
        <v>363</v>
      </c>
      <c r="AB25" s="137" t="s">
        <v>371</v>
      </c>
      <c r="AC25" s="325" t="s">
        <v>372</v>
      </c>
      <c r="AD25" s="308" t="s">
        <v>373</v>
      </c>
      <c r="AE25" s="596" t="s">
        <v>377</v>
      </c>
      <c r="AF25" s="611" t="s">
        <v>380</v>
      </c>
      <c r="AG25" s="539" t="s">
        <v>381</v>
      </c>
      <c r="AH25" s="613" t="s">
        <v>383</v>
      </c>
      <c r="AI25" s="312" t="s">
        <v>390</v>
      </c>
      <c r="AJ25" s="612" t="s">
        <v>131</v>
      </c>
      <c r="AK25" s="321"/>
      <c r="AL25" s="75"/>
      <c r="AM25" s="96"/>
      <c r="AN25" s="96"/>
      <c r="AO25" s="96"/>
      <c r="AP25" s="96"/>
    </row>
    <row r="26" spans="1:42" ht="15.6" x14ac:dyDescent="0.3">
      <c r="A26" s="1">
        <v>1</v>
      </c>
      <c r="B26" s="407" t="s">
        <v>10</v>
      </c>
      <c r="C26" s="413">
        <f>((D26+E26+F26+G26+H26+I26+J26+K26+L26+M26+N26+O26)/12)</f>
        <v>21.916666666666668</v>
      </c>
      <c r="D26" s="451">
        <v>10</v>
      </c>
      <c r="E26" s="452">
        <v>25</v>
      </c>
      <c r="F26" s="452">
        <v>22</v>
      </c>
      <c r="G26" s="535">
        <v>9</v>
      </c>
      <c r="H26" s="452">
        <v>23</v>
      </c>
      <c r="I26" s="453">
        <v>18</v>
      </c>
      <c r="J26" s="301">
        <v>18</v>
      </c>
      <c r="K26" s="454">
        <v>30</v>
      </c>
      <c r="L26" s="452">
        <v>35</v>
      </c>
      <c r="M26" s="452">
        <v>28</v>
      </c>
      <c r="N26" s="561">
        <v>15</v>
      </c>
      <c r="O26" s="454">
        <v>30</v>
      </c>
      <c r="P26" s="455"/>
      <c r="Q26" s="455"/>
      <c r="R26" s="455"/>
      <c r="S26" s="455"/>
      <c r="T26" s="455"/>
      <c r="U26" s="455"/>
      <c r="V26" s="2">
        <v>15</v>
      </c>
      <c r="W26" s="425" t="s">
        <v>336</v>
      </c>
      <c r="X26" s="413">
        <f>((Y26+Z26+AA26+AB26+AC26+AD26+AE26+AF26+AG26+AH26+AI26+AJ26)/12)</f>
        <v>12.75</v>
      </c>
      <c r="Y26" s="469">
        <v>35</v>
      </c>
      <c r="Z26" s="470">
        <v>18</v>
      </c>
      <c r="AA26" s="453">
        <v>18</v>
      </c>
      <c r="AB26" s="535">
        <v>21</v>
      </c>
      <c r="AC26" s="452"/>
      <c r="AD26" s="452"/>
      <c r="AE26" s="471"/>
      <c r="AF26" s="454">
        <v>18</v>
      </c>
      <c r="AG26" s="453"/>
      <c r="AH26" s="452">
        <v>18</v>
      </c>
      <c r="AI26" s="561">
        <v>7</v>
      </c>
      <c r="AJ26" s="454">
        <v>18</v>
      </c>
      <c r="AK26" s="452"/>
      <c r="AL26" s="472"/>
      <c r="AM26" s="472"/>
      <c r="AN26" s="473"/>
      <c r="AO26" s="473"/>
      <c r="AP26" s="473"/>
    </row>
    <row r="27" spans="1:42" ht="15.6" x14ac:dyDescent="0.3">
      <c r="A27" s="1">
        <v>2</v>
      </c>
      <c r="B27" s="406" t="s">
        <v>22</v>
      </c>
      <c r="C27" s="413">
        <f t="shared" ref="C27:C39" si="2">((D27+E27+F27+G27+H27+I27+J27+K27+L27+M27+N27+O27)/12)</f>
        <v>16.125</v>
      </c>
      <c r="D27" s="451">
        <v>25</v>
      </c>
      <c r="E27" s="462">
        <v>15</v>
      </c>
      <c r="F27" s="462">
        <v>15</v>
      </c>
      <c r="G27" s="535">
        <v>9</v>
      </c>
      <c r="H27" s="665">
        <v>18</v>
      </c>
      <c r="I27" s="666">
        <v>18</v>
      </c>
      <c r="J27" s="457">
        <v>19</v>
      </c>
      <c r="K27" s="2">
        <v>18</v>
      </c>
      <c r="L27" s="664">
        <v>18</v>
      </c>
      <c r="M27" s="456">
        <v>15</v>
      </c>
      <c r="N27" s="562">
        <v>3.5</v>
      </c>
      <c r="O27" s="2">
        <v>20</v>
      </c>
      <c r="P27" s="459"/>
      <c r="Q27" s="459"/>
      <c r="R27" s="459"/>
      <c r="S27" s="459"/>
      <c r="T27" s="459"/>
      <c r="U27" s="459"/>
      <c r="V27" s="2">
        <v>16</v>
      </c>
      <c r="W27" s="425" t="s">
        <v>337</v>
      </c>
      <c r="X27" s="413">
        <f t="shared" ref="X27:X40" si="3">((Y27+Z27+AA27+AB27+AC27+AD27+AE27+AF27+AG27+AH27+AI27+AJ27)/12)</f>
        <v>18.916666666666668</v>
      </c>
      <c r="Y27" s="474">
        <v>22</v>
      </c>
      <c r="Z27" s="456">
        <v>20</v>
      </c>
      <c r="AA27" s="456">
        <v>22</v>
      </c>
      <c r="AB27" s="536">
        <v>9</v>
      </c>
      <c r="AC27" s="456">
        <v>18</v>
      </c>
      <c r="AD27" s="456">
        <v>1</v>
      </c>
      <c r="AE27" s="463">
        <v>35</v>
      </c>
      <c r="AF27" s="2">
        <v>14</v>
      </c>
      <c r="AG27" s="456">
        <v>28</v>
      </c>
      <c r="AH27" s="456">
        <v>25</v>
      </c>
      <c r="AI27" s="562">
        <v>3</v>
      </c>
      <c r="AJ27" s="2">
        <v>30</v>
      </c>
      <c r="AK27" s="475"/>
      <c r="AL27" s="475"/>
      <c r="AM27" s="475"/>
      <c r="AN27" s="476"/>
      <c r="AO27" s="476"/>
      <c r="AP27" s="476"/>
    </row>
    <row r="28" spans="1:42" ht="15.6" x14ac:dyDescent="0.3">
      <c r="A28" s="1">
        <v>3</v>
      </c>
      <c r="B28" s="425" t="s">
        <v>326</v>
      </c>
      <c r="C28" s="413">
        <f t="shared" si="2"/>
        <v>17.916666666666668</v>
      </c>
      <c r="D28" s="451">
        <v>35</v>
      </c>
      <c r="E28" s="456">
        <v>20</v>
      </c>
      <c r="F28" s="452"/>
      <c r="G28" s="535">
        <v>0</v>
      </c>
      <c r="H28" s="452">
        <v>35</v>
      </c>
      <c r="I28" s="456"/>
      <c r="J28" s="456">
        <v>18</v>
      </c>
      <c r="K28" s="2">
        <v>17</v>
      </c>
      <c r="L28" s="452">
        <v>18</v>
      </c>
      <c r="M28" s="456">
        <v>25</v>
      </c>
      <c r="N28" s="562">
        <v>17</v>
      </c>
      <c r="O28" s="2">
        <v>30</v>
      </c>
      <c r="P28" s="459"/>
      <c r="Q28" s="459"/>
      <c r="R28" s="459"/>
      <c r="S28" s="459"/>
      <c r="T28" s="459"/>
      <c r="U28" s="459"/>
      <c r="V28" s="1">
        <v>17</v>
      </c>
      <c r="W28" s="425" t="s">
        <v>338</v>
      </c>
      <c r="X28" s="413">
        <f t="shared" si="3"/>
        <v>27.583333333333332</v>
      </c>
      <c r="Y28" s="477">
        <v>35</v>
      </c>
      <c r="Z28" s="456">
        <v>35</v>
      </c>
      <c r="AA28" s="456">
        <v>35</v>
      </c>
      <c r="AB28" s="536">
        <v>35</v>
      </c>
      <c r="AC28" s="456"/>
      <c r="AD28" s="456">
        <v>8</v>
      </c>
      <c r="AE28" s="456">
        <v>17</v>
      </c>
      <c r="AF28" s="2">
        <v>33</v>
      </c>
      <c r="AG28" s="456">
        <v>35</v>
      </c>
      <c r="AH28" s="456">
        <v>35</v>
      </c>
      <c r="AI28" s="562">
        <v>28</v>
      </c>
      <c r="AJ28" s="575">
        <v>35</v>
      </c>
      <c r="AK28" s="475"/>
      <c r="AL28" s="475"/>
      <c r="AM28" s="475"/>
      <c r="AN28" s="476"/>
      <c r="AO28" s="476"/>
      <c r="AP28" s="476"/>
    </row>
    <row r="29" spans="1:42" ht="15.6" x14ac:dyDescent="0.3">
      <c r="A29" s="1">
        <v>4</v>
      </c>
      <c r="B29" s="408" t="s">
        <v>327</v>
      </c>
      <c r="C29" s="413">
        <f t="shared" si="2"/>
        <v>20.833333333333332</v>
      </c>
      <c r="D29" s="451">
        <v>20</v>
      </c>
      <c r="E29" s="456">
        <v>30</v>
      </c>
      <c r="F29" s="452">
        <v>17</v>
      </c>
      <c r="G29" s="535">
        <v>35</v>
      </c>
      <c r="H29" s="452"/>
      <c r="I29" s="456"/>
      <c r="J29" s="456">
        <v>33</v>
      </c>
      <c r="K29" s="2">
        <v>18</v>
      </c>
      <c r="L29" s="456">
        <v>30</v>
      </c>
      <c r="M29" s="460">
        <v>15</v>
      </c>
      <c r="N29" s="562">
        <v>17</v>
      </c>
      <c r="O29" s="574">
        <v>35</v>
      </c>
      <c r="P29" s="460"/>
      <c r="Q29" s="460"/>
      <c r="R29" s="460"/>
      <c r="S29" s="460"/>
      <c r="T29" s="460"/>
      <c r="U29" s="460"/>
      <c r="V29" s="2">
        <v>18</v>
      </c>
      <c r="W29" s="425" t="s">
        <v>339</v>
      </c>
      <c r="X29" s="413">
        <f t="shared" si="3"/>
        <v>34.75</v>
      </c>
      <c r="Y29" s="477">
        <v>35</v>
      </c>
      <c r="Z29" s="456">
        <v>35</v>
      </c>
      <c r="AA29" s="456">
        <v>35</v>
      </c>
      <c r="AB29" s="570">
        <v>32</v>
      </c>
      <c r="AC29" s="456">
        <v>35</v>
      </c>
      <c r="AD29" s="456">
        <v>35</v>
      </c>
      <c r="AE29" s="456">
        <v>35</v>
      </c>
      <c r="AF29" s="2">
        <v>35</v>
      </c>
      <c r="AG29" s="456">
        <v>35</v>
      </c>
      <c r="AH29" s="456">
        <v>35</v>
      </c>
      <c r="AI29" s="562">
        <v>35</v>
      </c>
      <c r="AJ29" s="2">
        <v>35</v>
      </c>
      <c r="AK29" s="456"/>
      <c r="AL29" s="475"/>
      <c r="AM29" s="475"/>
      <c r="AN29" s="476"/>
      <c r="AO29" s="476"/>
      <c r="AP29" s="476"/>
    </row>
    <row r="30" spans="1:42" ht="15.6" x14ac:dyDescent="0.3">
      <c r="A30" s="1">
        <v>5</v>
      </c>
      <c r="B30" s="425" t="s">
        <v>328</v>
      </c>
      <c r="C30" s="413">
        <f t="shared" si="2"/>
        <v>18.916666666666668</v>
      </c>
      <c r="D30" s="461">
        <v>15</v>
      </c>
      <c r="E30" s="457">
        <v>10</v>
      </c>
      <c r="F30" s="452">
        <v>18</v>
      </c>
      <c r="G30" s="535">
        <v>25</v>
      </c>
      <c r="H30" s="453">
        <v>18</v>
      </c>
      <c r="I30" s="456">
        <v>33</v>
      </c>
      <c r="J30" s="462">
        <v>18</v>
      </c>
      <c r="K30" s="2">
        <v>20</v>
      </c>
      <c r="L30" s="452">
        <v>18</v>
      </c>
      <c r="M30" s="462">
        <v>7</v>
      </c>
      <c r="N30" s="562">
        <v>10</v>
      </c>
      <c r="O30" s="2">
        <v>35</v>
      </c>
      <c r="P30" s="459"/>
      <c r="Q30" s="459"/>
      <c r="R30" s="459"/>
      <c r="S30" s="459"/>
      <c r="T30" s="459"/>
      <c r="U30" s="459"/>
      <c r="V30" s="2">
        <v>19</v>
      </c>
      <c r="W30" s="408" t="s">
        <v>29</v>
      </c>
      <c r="X30" s="413">
        <f t="shared" si="3"/>
        <v>15.333333333333334</v>
      </c>
      <c r="Y30" s="477">
        <v>10</v>
      </c>
      <c r="Z30" s="644">
        <v>18</v>
      </c>
      <c r="AA30" s="457">
        <v>20</v>
      </c>
      <c r="AB30" s="536">
        <v>7</v>
      </c>
      <c r="AC30" s="456"/>
      <c r="AD30" s="456">
        <v>35</v>
      </c>
      <c r="AE30" s="678">
        <v>10</v>
      </c>
      <c r="AF30" s="643">
        <v>18</v>
      </c>
      <c r="AG30" s="463">
        <v>35</v>
      </c>
      <c r="AH30" s="634">
        <v>10</v>
      </c>
      <c r="AI30" s="562">
        <v>3</v>
      </c>
      <c r="AJ30" s="575">
        <v>18</v>
      </c>
      <c r="AK30" s="475"/>
      <c r="AL30" s="475"/>
      <c r="AM30" s="475"/>
      <c r="AN30" s="476"/>
      <c r="AO30" s="476"/>
      <c r="AP30" s="476"/>
    </row>
    <row r="31" spans="1:42" ht="15.6" x14ac:dyDescent="0.3">
      <c r="A31" s="1">
        <v>6</v>
      </c>
      <c r="B31" s="425" t="s">
        <v>329</v>
      </c>
      <c r="C31" s="413">
        <f t="shared" si="2"/>
        <v>17.25</v>
      </c>
      <c r="D31" s="451">
        <v>15</v>
      </c>
      <c r="E31" s="456">
        <v>17</v>
      </c>
      <c r="F31" s="452">
        <v>10</v>
      </c>
      <c r="G31" s="535">
        <v>18</v>
      </c>
      <c r="H31" s="452">
        <v>18</v>
      </c>
      <c r="I31" s="463">
        <v>15</v>
      </c>
      <c r="J31" s="463">
        <v>21</v>
      </c>
      <c r="K31" s="2">
        <v>25</v>
      </c>
      <c r="L31" s="456">
        <v>28</v>
      </c>
      <c r="M31" s="456">
        <v>15</v>
      </c>
      <c r="N31" s="562">
        <v>7</v>
      </c>
      <c r="O31" s="2">
        <v>18</v>
      </c>
      <c r="P31" s="459"/>
      <c r="Q31" s="459"/>
      <c r="R31" s="459"/>
      <c r="S31" s="459"/>
      <c r="T31" s="459"/>
      <c r="U31" s="459"/>
      <c r="V31" s="1">
        <v>20</v>
      </c>
      <c r="W31" s="425" t="s">
        <v>340</v>
      </c>
      <c r="X31" s="413">
        <f t="shared" si="3"/>
        <v>25.666666666666668</v>
      </c>
      <c r="Y31" s="477">
        <v>15</v>
      </c>
      <c r="Z31" s="456">
        <v>30</v>
      </c>
      <c r="AA31" s="456">
        <v>14</v>
      </c>
      <c r="AB31" s="536">
        <v>35</v>
      </c>
      <c r="AC31" s="456">
        <v>35</v>
      </c>
      <c r="AD31" s="456">
        <v>18</v>
      </c>
      <c r="AE31" s="456">
        <v>35</v>
      </c>
      <c r="AF31" s="2">
        <v>33</v>
      </c>
      <c r="AG31" s="456">
        <v>18</v>
      </c>
      <c r="AH31" s="456">
        <v>30</v>
      </c>
      <c r="AI31" s="562">
        <v>17</v>
      </c>
      <c r="AJ31" s="575">
        <v>28</v>
      </c>
      <c r="AK31" s="475"/>
      <c r="AL31" s="475"/>
      <c r="AM31" s="475"/>
      <c r="AN31" s="476"/>
      <c r="AO31" s="476"/>
      <c r="AP31" s="476"/>
    </row>
    <row r="32" spans="1:42" ht="15.6" x14ac:dyDescent="0.3">
      <c r="A32" s="1">
        <v>7</v>
      </c>
      <c r="B32" s="425" t="s">
        <v>330</v>
      </c>
      <c r="C32" s="413">
        <f t="shared" si="2"/>
        <v>11</v>
      </c>
      <c r="D32" s="677">
        <v>18</v>
      </c>
      <c r="E32" s="678">
        <v>18</v>
      </c>
      <c r="F32" s="679">
        <v>18</v>
      </c>
      <c r="G32" s="535">
        <v>9</v>
      </c>
      <c r="H32" s="680">
        <v>35</v>
      </c>
      <c r="I32" s="463"/>
      <c r="J32" s="678">
        <v>12</v>
      </c>
      <c r="K32" s="643"/>
      <c r="L32" s="465"/>
      <c r="M32" s="678"/>
      <c r="N32" s="562">
        <v>4</v>
      </c>
      <c r="O32" s="2">
        <v>18</v>
      </c>
      <c r="P32" s="459"/>
      <c r="Q32" s="459"/>
      <c r="R32" s="459"/>
      <c r="S32" s="459"/>
      <c r="T32" s="459"/>
      <c r="U32" s="459"/>
      <c r="V32" s="2">
        <v>21</v>
      </c>
      <c r="W32" s="426" t="s">
        <v>341</v>
      </c>
      <c r="X32" s="413">
        <f t="shared" si="3"/>
        <v>14.5</v>
      </c>
      <c r="Y32" s="474">
        <v>35</v>
      </c>
      <c r="Z32" s="457">
        <v>30</v>
      </c>
      <c r="AA32" s="457">
        <v>18</v>
      </c>
      <c r="AB32" s="536">
        <v>18</v>
      </c>
      <c r="AC32" s="456">
        <v>18</v>
      </c>
      <c r="AD32" s="457"/>
      <c r="AE32" s="456"/>
      <c r="AF32" s="2">
        <v>18</v>
      </c>
      <c r="AG32" s="456"/>
      <c r="AH32" s="456">
        <v>12</v>
      </c>
      <c r="AI32" s="562">
        <v>7</v>
      </c>
      <c r="AJ32" s="575">
        <v>18</v>
      </c>
      <c r="AK32" s="475"/>
      <c r="AL32" s="475"/>
      <c r="AM32" s="475"/>
      <c r="AN32" s="476"/>
      <c r="AO32" s="476"/>
      <c r="AP32" s="476"/>
    </row>
    <row r="33" spans="1:42" ht="15.6" x14ac:dyDescent="0.3">
      <c r="A33" s="1">
        <v>8</v>
      </c>
      <c r="B33" s="425" t="s">
        <v>331</v>
      </c>
      <c r="C33" s="413">
        <f t="shared" si="2"/>
        <v>20.5</v>
      </c>
      <c r="D33" s="466">
        <v>30</v>
      </c>
      <c r="E33" s="456">
        <v>35</v>
      </c>
      <c r="F33" s="452">
        <v>33</v>
      </c>
      <c r="G33" s="535">
        <v>23</v>
      </c>
      <c r="H33" s="452">
        <v>21</v>
      </c>
      <c r="I33" s="456">
        <v>35</v>
      </c>
      <c r="J33" s="456"/>
      <c r="K33" s="2"/>
      <c r="L33" s="456">
        <v>28</v>
      </c>
      <c r="M33" s="456">
        <v>24</v>
      </c>
      <c r="N33" s="562">
        <v>17</v>
      </c>
      <c r="O33" s="2"/>
      <c r="P33" s="459"/>
      <c r="Q33" s="459"/>
      <c r="R33" s="459"/>
      <c r="S33" s="459"/>
      <c r="T33" s="459"/>
      <c r="U33" s="459"/>
      <c r="V33" s="2">
        <v>22</v>
      </c>
      <c r="W33" s="425" t="s">
        <v>342</v>
      </c>
      <c r="X33" s="413">
        <f t="shared" si="3"/>
        <v>16.5</v>
      </c>
      <c r="Y33" s="474">
        <v>35</v>
      </c>
      <c r="Z33" s="457">
        <v>15</v>
      </c>
      <c r="AA33" s="456">
        <v>18</v>
      </c>
      <c r="AB33" s="536">
        <v>31</v>
      </c>
      <c r="AC33" s="456">
        <v>35</v>
      </c>
      <c r="AD33" s="456"/>
      <c r="AE33" s="456"/>
      <c r="AF33" s="2">
        <v>20</v>
      </c>
      <c r="AG33" s="456">
        <v>23</v>
      </c>
      <c r="AH33" s="456">
        <v>18</v>
      </c>
      <c r="AI33" s="562">
        <v>3</v>
      </c>
      <c r="AJ33" s="575">
        <v>0</v>
      </c>
      <c r="AK33" s="475"/>
      <c r="AL33" s="475"/>
      <c r="AM33" s="475"/>
      <c r="AN33" s="476"/>
      <c r="AO33" s="476"/>
      <c r="AP33" s="476"/>
    </row>
    <row r="34" spans="1:42" ht="15.6" x14ac:dyDescent="0.3">
      <c r="A34" s="1">
        <v>9</v>
      </c>
      <c r="B34" s="425" t="s">
        <v>332</v>
      </c>
      <c r="C34" s="413">
        <f t="shared" si="2"/>
        <v>20</v>
      </c>
      <c r="D34" s="467">
        <v>21</v>
      </c>
      <c r="E34" s="462">
        <v>28</v>
      </c>
      <c r="F34" s="452">
        <v>25</v>
      </c>
      <c r="G34" s="535">
        <v>21</v>
      </c>
      <c r="H34" s="452">
        <v>22</v>
      </c>
      <c r="I34" s="468">
        <v>22</v>
      </c>
      <c r="J34" s="456">
        <v>22</v>
      </c>
      <c r="K34" s="2">
        <v>12</v>
      </c>
      <c r="L34" s="452">
        <v>18</v>
      </c>
      <c r="M34" s="456">
        <v>21</v>
      </c>
      <c r="N34" s="562">
        <v>10</v>
      </c>
      <c r="O34" s="2">
        <v>18</v>
      </c>
      <c r="P34" s="459"/>
      <c r="Q34" s="459"/>
      <c r="R34" s="459"/>
      <c r="S34" s="459"/>
      <c r="T34" s="459"/>
      <c r="U34" s="459"/>
      <c r="V34" s="1">
        <v>23</v>
      </c>
      <c r="W34" s="425" t="s">
        <v>343</v>
      </c>
      <c r="X34" s="413">
        <f t="shared" si="3"/>
        <v>17.666666666666668</v>
      </c>
      <c r="Y34" s="474">
        <v>18</v>
      </c>
      <c r="Z34" s="456"/>
      <c r="AA34" s="456">
        <v>3</v>
      </c>
      <c r="AB34" s="536">
        <v>31</v>
      </c>
      <c r="AC34" s="456">
        <v>18</v>
      </c>
      <c r="AD34" s="457">
        <v>33</v>
      </c>
      <c r="AE34" s="456"/>
      <c r="AF34" s="2">
        <v>14</v>
      </c>
      <c r="AG34" s="456">
        <v>35</v>
      </c>
      <c r="AH34" s="456">
        <v>21</v>
      </c>
      <c r="AI34" s="562">
        <v>21</v>
      </c>
      <c r="AJ34" s="575">
        <v>18</v>
      </c>
      <c r="AK34" s="475"/>
      <c r="AL34" s="475"/>
      <c r="AM34" s="475"/>
      <c r="AN34" s="476"/>
      <c r="AO34" s="476"/>
      <c r="AP34" s="476"/>
    </row>
    <row r="35" spans="1:42" ht="15.6" x14ac:dyDescent="0.3">
      <c r="A35" s="1">
        <v>10</v>
      </c>
      <c r="B35" s="425" t="s">
        <v>333</v>
      </c>
      <c r="C35" s="413">
        <f t="shared" si="2"/>
        <v>12.333333333333334</v>
      </c>
      <c r="D35" s="464">
        <v>18</v>
      </c>
      <c r="E35" s="463">
        <v>18</v>
      </c>
      <c r="F35" s="465">
        <v>10</v>
      </c>
      <c r="G35" s="535">
        <v>0</v>
      </c>
      <c r="H35" s="453">
        <v>18</v>
      </c>
      <c r="I35" s="457">
        <v>18</v>
      </c>
      <c r="J35" s="463">
        <v>18</v>
      </c>
      <c r="K35" s="643">
        <v>15</v>
      </c>
      <c r="L35" s="465">
        <v>18</v>
      </c>
      <c r="M35" s="463"/>
      <c r="N35" s="562">
        <v>3</v>
      </c>
      <c r="O35" s="2">
        <v>12</v>
      </c>
      <c r="P35" s="459"/>
      <c r="Q35" s="459"/>
      <c r="R35" s="459"/>
      <c r="S35" s="459"/>
      <c r="T35" s="459"/>
      <c r="U35" s="459"/>
      <c r="V35" s="2">
        <v>24</v>
      </c>
      <c r="W35" s="425" t="s">
        <v>344</v>
      </c>
      <c r="X35" s="413">
        <f t="shared" si="3"/>
        <v>0</v>
      </c>
      <c r="Y35" s="478"/>
      <c r="Z35" s="453"/>
      <c r="AA35" s="457"/>
      <c r="AB35" s="536">
        <v>0</v>
      </c>
      <c r="AC35" s="457"/>
      <c r="AD35" s="457"/>
      <c r="AE35" s="457"/>
      <c r="AF35" s="2"/>
      <c r="AG35" s="457"/>
      <c r="AH35" s="457"/>
      <c r="AI35" s="562"/>
      <c r="AJ35" s="458">
        <v>0</v>
      </c>
      <c r="AK35" s="475"/>
      <c r="AL35" s="475"/>
      <c r="AM35" s="475"/>
      <c r="AN35" s="476"/>
      <c r="AO35" s="476"/>
      <c r="AP35" s="476"/>
    </row>
    <row r="36" spans="1:42" ht="15.6" x14ac:dyDescent="0.3">
      <c r="A36" s="1">
        <v>11</v>
      </c>
      <c r="B36" s="425" t="s">
        <v>334</v>
      </c>
      <c r="C36" s="413">
        <f t="shared" si="2"/>
        <v>9.6666666666666661</v>
      </c>
      <c r="D36" s="461"/>
      <c r="E36" s="457">
        <v>18</v>
      </c>
      <c r="F36" s="673">
        <v>18</v>
      </c>
      <c r="G36" s="535">
        <v>25</v>
      </c>
      <c r="H36" s="453">
        <v>18</v>
      </c>
      <c r="I36" s="456">
        <v>18</v>
      </c>
      <c r="J36" s="456">
        <v>12</v>
      </c>
      <c r="K36" s="2"/>
      <c r="L36" s="456"/>
      <c r="M36" s="456"/>
      <c r="N36" s="562">
        <v>7</v>
      </c>
      <c r="O36" s="2">
        <v>0</v>
      </c>
      <c r="P36" s="459"/>
      <c r="Q36" s="459"/>
      <c r="R36" s="459"/>
      <c r="S36" s="459"/>
      <c r="T36" s="459"/>
      <c r="U36" s="459"/>
      <c r="V36" s="2">
        <v>25</v>
      </c>
      <c r="W36" s="425" t="s">
        <v>345</v>
      </c>
      <c r="X36" s="413">
        <f t="shared" si="3"/>
        <v>21.25</v>
      </c>
      <c r="Y36" s="479">
        <v>18</v>
      </c>
      <c r="Z36" s="457">
        <v>24</v>
      </c>
      <c r="AA36" s="456">
        <v>17</v>
      </c>
      <c r="AB36" s="536">
        <v>18</v>
      </c>
      <c r="AC36" s="456">
        <v>35</v>
      </c>
      <c r="AD36" s="456"/>
      <c r="AE36" s="457">
        <v>35</v>
      </c>
      <c r="AF36" s="2">
        <v>15</v>
      </c>
      <c r="AG36" s="494">
        <v>18</v>
      </c>
      <c r="AH36" s="456">
        <v>28</v>
      </c>
      <c r="AI36" s="562">
        <v>17</v>
      </c>
      <c r="AJ36" s="575">
        <v>30</v>
      </c>
      <c r="AK36" s="475"/>
      <c r="AL36" s="475"/>
      <c r="AM36" s="475"/>
      <c r="AN36" s="476"/>
      <c r="AO36" s="476"/>
      <c r="AP36" s="476"/>
    </row>
    <row r="37" spans="1:42" ht="15.6" x14ac:dyDescent="0.3">
      <c r="A37" s="1">
        <v>12</v>
      </c>
      <c r="B37" s="425" t="s">
        <v>335</v>
      </c>
      <c r="C37" s="413">
        <f t="shared" si="2"/>
        <v>15.666666666666666</v>
      </c>
      <c r="D37" s="464">
        <v>15</v>
      </c>
      <c r="E37" s="457">
        <v>12</v>
      </c>
      <c r="F37" s="465">
        <v>18</v>
      </c>
      <c r="G37" s="535">
        <v>35</v>
      </c>
      <c r="H37" s="465">
        <v>18</v>
      </c>
      <c r="I37" s="463"/>
      <c r="J37" s="463">
        <v>11</v>
      </c>
      <c r="K37" s="2">
        <v>18</v>
      </c>
      <c r="L37" s="452">
        <v>18</v>
      </c>
      <c r="M37" s="456">
        <v>18</v>
      </c>
      <c r="N37" s="562">
        <v>7</v>
      </c>
      <c r="O37" s="2">
        <v>18</v>
      </c>
      <c r="P37" s="459"/>
      <c r="Q37" s="459"/>
      <c r="R37" s="459"/>
      <c r="S37" s="459"/>
      <c r="T37" s="459"/>
      <c r="U37" s="459"/>
      <c r="V37" s="1">
        <v>26</v>
      </c>
      <c r="W37" s="425" t="s">
        <v>346</v>
      </c>
      <c r="X37" s="413">
        <f t="shared" si="3"/>
        <v>14.166666666666666</v>
      </c>
      <c r="Y37" s="480">
        <v>0</v>
      </c>
      <c r="Z37" s="456">
        <v>35</v>
      </c>
      <c r="AA37" s="456">
        <v>15</v>
      </c>
      <c r="AB37" s="536">
        <v>14</v>
      </c>
      <c r="AC37" s="2">
        <v>18</v>
      </c>
      <c r="AD37" s="456">
        <v>18</v>
      </c>
      <c r="AE37" s="462"/>
      <c r="AF37" s="2">
        <v>16</v>
      </c>
      <c r="AG37" s="456">
        <v>18</v>
      </c>
      <c r="AH37" s="634">
        <v>18</v>
      </c>
      <c r="AI37" s="563"/>
      <c r="AJ37" s="2">
        <v>18</v>
      </c>
      <c r="AK37" s="456"/>
      <c r="AL37" s="475"/>
      <c r="AM37" s="475"/>
      <c r="AN37" s="476"/>
      <c r="AO37" s="476"/>
      <c r="AP37" s="476"/>
    </row>
    <row r="38" spans="1:42" ht="15.6" x14ac:dyDescent="0.3">
      <c r="A38" s="1">
        <v>13</v>
      </c>
      <c r="B38" s="407" t="s">
        <v>26</v>
      </c>
      <c r="C38" s="413">
        <f t="shared" si="2"/>
        <v>24</v>
      </c>
      <c r="D38" s="466">
        <v>20</v>
      </c>
      <c r="E38" s="456">
        <v>18</v>
      </c>
      <c r="F38" s="456">
        <v>27</v>
      </c>
      <c r="G38" s="536">
        <v>13</v>
      </c>
      <c r="H38" s="2">
        <v>28</v>
      </c>
      <c r="I38" s="462">
        <v>11</v>
      </c>
      <c r="J38" s="456">
        <v>35</v>
      </c>
      <c r="K38" s="2">
        <v>12</v>
      </c>
      <c r="L38" s="456">
        <v>35</v>
      </c>
      <c r="M38" s="456">
        <v>35</v>
      </c>
      <c r="N38" s="536">
        <v>19</v>
      </c>
      <c r="O38" s="2">
        <v>35</v>
      </c>
      <c r="P38" s="459"/>
      <c r="Q38" s="459"/>
      <c r="R38" s="459"/>
      <c r="S38" s="459"/>
      <c r="T38" s="459"/>
      <c r="U38" s="459"/>
      <c r="V38" s="2">
        <v>27</v>
      </c>
      <c r="W38" s="425" t="s">
        <v>347</v>
      </c>
      <c r="X38" s="413">
        <f t="shared" si="3"/>
        <v>6</v>
      </c>
      <c r="Y38" s="481">
        <v>11</v>
      </c>
      <c r="Z38" s="666">
        <v>18</v>
      </c>
      <c r="AA38" s="457"/>
      <c r="AB38" s="536">
        <v>0</v>
      </c>
      <c r="AC38" s="457"/>
      <c r="AD38" s="456"/>
      <c r="AE38" s="664">
        <v>18</v>
      </c>
      <c r="AF38" s="2"/>
      <c r="AG38" s="468"/>
      <c r="AH38" s="468">
        <v>0</v>
      </c>
      <c r="AI38" s="564">
        <v>7</v>
      </c>
      <c r="AJ38" s="576">
        <v>18</v>
      </c>
      <c r="AK38" s="476"/>
      <c r="AL38" s="476"/>
      <c r="AM38" s="476"/>
      <c r="AN38" s="476"/>
      <c r="AO38" s="476"/>
      <c r="AP38" s="476"/>
    </row>
    <row r="39" spans="1:42" ht="15.6" x14ac:dyDescent="0.3">
      <c r="A39" s="1">
        <v>14</v>
      </c>
      <c r="B39" s="407" t="s">
        <v>16</v>
      </c>
      <c r="C39" s="413">
        <f t="shared" si="2"/>
        <v>35</v>
      </c>
      <c r="D39" s="466">
        <v>35</v>
      </c>
      <c r="E39" s="456">
        <v>35</v>
      </c>
      <c r="F39" s="456">
        <v>35</v>
      </c>
      <c r="G39" s="570">
        <v>35</v>
      </c>
      <c r="H39" s="456">
        <v>35</v>
      </c>
      <c r="I39" s="456">
        <v>35</v>
      </c>
      <c r="J39" s="456">
        <v>35</v>
      </c>
      <c r="K39" s="2">
        <v>35</v>
      </c>
      <c r="L39" s="456">
        <v>35</v>
      </c>
      <c r="M39" s="456">
        <v>35</v>
      </c>
      <c r="N39" s="536">
        <v>35</v>
      </c>
      <c r="O39" s="2">
        <v>35</v>
      </c>
      <c r="P39" s="459"/>
      <c r="Q39" s="459"/>
      <c r="R39" s="459"/>
      <c r="S39" s="459"/>
      <c r="T39" s="459"/>
      <c r="U39" s="459"/>
      <c r="V39" s="2">
        <v>28</v>
      </c>
      <c r="W39" s="410" t="s">
        <v>64</v>
      </c>
      <c r="X39" s="413">
        <f t="shared" si="3"/>
        <v>26.333333333333332</v>
      </c>
      <c r="Y39" s="487">
        <v>25</v>
      </c>
      <c r="Z39" s="482">
        <v>30</v>
      </c>
      <c r="AA39" s="482">
        <v>35</v>
      </c>
      <c r="AB39" s="537">
        <v>24</v>
      </c>
      <c r="AC39" s="482">
        <v>35</v>
      </c>
      <c r="AD39" s="482">
        <v>25</v>
      </c>
      <c r="AE39" s="482"/>
      <c r="AF39" s="484">
        <v>21</v>
      </c>
      <c r="AG39" s="483">
        <v>35</v>
      </c>
      <c r="AH39" s="483">
        <v>32</v>
      </c>
      <c r="AI39" s="565">
        <v>24</v>
      </c>
      <c r="AJ39" s="577">
        <v>30</v>
      </c>
      <c r="AK39" s="485"/>
      <c r="AL39" s="485"/>
      <c r="AM39" s="485"/>
      <c r="AN39" s="485"/>
      <c r="AO39" s="485"/>
      <c r="AP39" s="485"/>
    </row>
    <row r="40" spans="1:42" ht="19.2" customHeight="1" x14ac:dyDescent="0.3">
      <c r="B40" s="73"/>
      <c r="C40" s="51"/>
      <c r="D40" s="449"/>
      <c r="E40" s="449"/>
      <c r="F40" s="449"/>
      <c r="G40" s="449"/>
      <c r="H40" s="449"/>
      <c r="I40" s="449"/>
      <c r="J40" s="449"/>
      <c r="K40" s="449"/>
      <c r="L40" s="449"/>
      <c r="M40" s="449"/>
      <c r="N40" s="449"/>
      <c r="O40" s="449"/>
      <c r="P40" s="449"/>
      <c r="Q40" s="449"/>
      <c r="R40" s="449"/>
      <c r="S40" s="449"/>
      <c r="T40" s="449"/>
      <c r="U40" s="449"/>
      <c r="W40" s="407" t="s">
        <v>303</v>
      </c>
      <c r="X40" s="413">
        <f t="shared" si="3"/>
        <v>11.333333333333334</v>
      </c>
      <c r="Y40" s="541">
        <v>30</v>
      </c>
      <c r="Z40" s="468">
        <v>15</v>
      </c>
      <c r="AA40" s="468">
        <v>12</v>
      </c>
      <c r="AB40" s="536">
        <v>14</v>
      </c>
      <c r="AC40" s="468">
        <v>10</v>
      </c>
      <c r="AD40" s="468"/>
      <c r="AE40" s="468">
        <v>15</v>
      </c>
      <c r="AF40" s="1">
        <v>15</v>
      </c>
      <c r="AG40" s="468"/>
      <c r="AH40" s="463">
        <v>0</v>
      </c>
      <c r="AI40" s="564">
        <v>7</v>
      </c>
      <c r="AJ40" s="1">
        <v>18</v>
      </c>
      <c r="AK40" s="476"/>
      <c r="AL40" s="486"/>
      <c r="AM40" s="486"/>
      <c r="AN40" s="486"/>
      <c r="AO40" s="486"/>
      <c r="AP40" s="486"/>
    </row>
    <row r="41" spans="1:42" ht="15.6" x14ac:dyDescent="0.3">
      <c r="B41" s="73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W41" s="302"/>
      <c r="X41" s="394"/>
      <c r="Y41" s="395"/>
      <c r="Z41" s="395"/>
      <c r="AA41" s="395"/>
      <c r="AB41" s="395"/>
      <c r="AC41" s="395"/>
      <c r="AD41" s="395"/>
      <c r="AE41" s="395"/>
      <c r="AF41" s="396"/>
      <c r="AG41" s="397"/>
      <c r="AH41" s="397"/>
      <c r="AI41" s="396"/>
      <c r="AJ41" s="396"/>
      <c r="AK41" s="303"/>
      <c r="AL41" s="303"/>
      <c r="AM41" s="303"/>
      <c r="AN41" s="303"/>
      <c r="AO41" s="303"/>
      <c r="AP41" s="303"/>
    </row>
    <row r="42" spans="1:42" ht="21" x14ac:dyDescent="0.3">
      <c r="A42" s="757" t="s">
        <v>146</v>
      </c>
      <c r="B42" s="757"/>
      <c r="C42" s="757"/>
      <c r="D42" s="757"/>
      <c r="E42" s="757"/>
      <c r="F42" s="757"/>
      <c r="G42" s="757"/>
      <c r="H42" s="757"/>
      <c r="I42" s="757"/>
      <c r="J42" s="757"/>
      <c r="K42" s="757"/>
      <c r="L42" s="757"/>
      <c r="M42" s="757"/>
      <c r="N42" s="757"/>
      <c r="O42" s="757"/>
      <c r="P42" s="757"/>
      <c r="Q42" s="757"/>
      <c r="R42" s="757"/>
      <c r="S42" s="757"/>
      <c r="T42" s="757"/>
      <c r="U42" s="757"/>
      <c r="V42" s="757"/>
      <c r="W42" s="757"/>
      <c r="X42" s="757"/>
      <c r="Y42" s="757"/>
      <c r="Z42" s="757"/>
      <c r="AA42" s="757"/>
      <c r="AB42" s="757"/>
      <c r="AC42" s="757"/>
      <c r="AD42" s="757"/>
      <c r="AE42" s="757"/>
      <c r="AF42" s="757"/>
      <c r="AG42" s="757"/>
      <c r="AH42" s="757"/>
      <c r="AI42" s="757"/>
      <c r="AJ42" s="757"/>
      <c r="AK42" s="757"/>
      <c r="AL42" s="757"/>
      <c r="AM42" s="757"/>
      <c r="AN42" s="757"/>
      <c r="AO42" s="757"/>
      <c r="AP42" s="757"/>
    </row>
    <row r="43" spans="1:42" ht="18" x14ac:dyDescent="0.3">
      <c r="A43" s="758" t="s">
        <v>34</v>
      </c>
      <c r="B43" s="759"/>
      <c r="C43" s="760" t="s">
        <v>1</v>
      </c>
      <c r="D43" s="772" t="s">
        <v>54</v>
      </c>
      <c r="E43" s="772"/>
      <c r="F43" s="772"/>
      <c r="G43" s="772"/>
      <c r="H43" s="772"/>
      <c r="I43" s="772"/>
      <c r="J43" s="772"/>
      <c r="K43" s="772"/>
      <c r="L43" s="772"/>
      <c r="M43" s="772"/>
      <c r="N43" s="772"/>
      <c r="O43" s="772"/>
      <c r="P43" s="772"/>
      <c r="Q43" s="772"/>
      <c r="R43" s="772"/>
      <c r="S43" s="772"/>
      <c r="T43" s="772"/>
      <c r="U43" s="772"/>
      <c r="V43" s="762" t="s">
        <v>34</v>
      </c>
      <c r="W43" s="759"/>
      <c r="X43" s="760" t="s">
        <v>1</v>
      </c>
      <c r="Y43" s="772" t="s">
        <v>54</v>
      </c>
      <c r="Z43" s="772"/>
      <c r="AA43" s="772"/>
      <c r="AB43" s="772"/>
      <c r="AC43" s="772"/>
      <c r="AD43" s="772"/>
      <c r="AE43" s="772"/>
      <c r="AF43" s="772"/>
      <c r="AG43" s="772"/>
      <c r="AH43" s="772"/>
      <c r="AI43" s="772"/>
      <c r="AJ43" s="772"/>
      <c r="AK43" s="772"/>
      <c r="AL43" s="772"/>
      <c r="AM43" s="772"/>
      <c r="AN43" s="772"/>
      <c r="AO43" s="772"/>
      <c r="AP43" s="772"/>
    </row>
    <row r="44" spans="1:42" x14ac:dyDescent="0.3">
      <c r="A44" s="758"/>
      <c r="B44" s="759"/>
      <c r="C44" s="760"/>
      <c r="D44" s="446">
        <v>1</v>
      </c>
      <c r="E44" s="95">
        <v>2</v>
      </c>
      <c r="F44" s="95">
        <v>3</v>
      </c>
      <c r="G44" s="95">
        <v>4</v>
      </c>
      <c r="H44" s="95">
        <v>5</v>
      </c>
      <c r="I44" s="95">
        <v>6</v>
      </c>
      <c r="J44" s="95">
        <v>7</v>
      </c>
      <c r="K44" s="95">
        <v>8</v>
      </c>
      <c r="L44" s="95">
        <v>9</v>
      </c>
      <c r="M44" s="95">
        <v>10</v>
      </c>
      <c r="N44" s="95">
        <v>11</v>
      </c>
      <c r="O44" s="95">
        <v>12</v>
      </c>
      <c r="P44" s="95">
        <v>13</v>
      </c>
      <c r="Q44" s="95">
        <v>14</v>
      </c>
      <c r="R44" s="95">
        <v>15</v>
      </c>
      <c r="S44" s="95">
        <v>16</v>
      </c>
      <c r="T44" s="95">
        <v>17</v>
      </c>
      <c r="U44" s="95">
        <v>18</v>
      </c>
      <c r="V44" s="762"/>
      <c r="W44" s="759"/>
      <c r="X44" s="760"/>
      <c r="Y44" s="446">
        <v>1</v>
      </c>
      <c r="Z44" s="95">
        <v>2</v>
      </c>
      <c r="AA44" s="95">
        <v>3</v>
      </c>
      <c r="AB44" s="95">
        <v>4</v>
      </c>
      <c r="AC44" s="95">
        <v>5</v>
      </c>
      <c r="AD44" s="95">
        <v>6</v>
      </c>
      <c r="AE44" s="95">
        <v>7</v>
      </c>
      <c r="AF44" s="95">
        <v>8</v>
      </c>
      <c r="AG44" s="95">
        <v>9</v>
      </c>
      <c r="AH44" s="95">
        <v>10</v>
      </c>
      <c r="AI44" s="95">
        <v>11</v>
      </c>
      <c r="AJ44" s="72">
        <v>12</v>
      </c>
      <c r="AK44" s="72">
        <v>13</v>
      </c>
      <c r="AL44" s="72">
        <v>14</v>
      </c>
      <c r="AM44" s="72">
        <v>15</v>
      </c>
      <c r="AN44" s="72">
        <v>16</v>
      </c>
      <c r="AO44" s="72">
        <v>17</v>
      </c>
      <c r="AP44" s="72">
        <v>18</v>
      </c>
    </row>
    <row r="45" spans="1:42" x14ac:dyDescent="0.3">
      <c r="A45" s="758"/>
      <c r="B45" s="759"/>
      <c r="C45" s="760"/>
      <c r="D45" s="763" t="s">
        <v>3</v>
      </c>
      <c r="E45" s="764"/>
      <c r="F45" s="764"/>
      <c r="G45" s="764"/>
      <c r="H45" s="764"/>
      <c r="I45" s="764"/>
      <c r="J45" s="764"/>
      <c r="K45" s="764"/>
      <c r="L45" s="764"/>
      <c r="M45" s="764"/>
      <c r="N45" s="764"/>
      <c r="O45" s="764"/>
      <c r="P45" s="764"/>
      <c r="Q45" s="764"/>
      <c r="R45" s="765"/>
      <c r="S45" s="74"/>
      <c r="T45" s="76"/>
      <c r="U45" s="76"/>
      <c r="V45" s="762"/>
      <c r="W45" s="759"/>
      <c r="X45" s="760"/>
      <c r="Y45" s="766" t="s">
        <v>3</v>
      </c>
      <c r="Z45" s="766"/>
      <c r="AA45" s="766"/>
      <c r="AB45" s="766"/>
      <c r="AC45" s="766"/>
      <c r="AD45" s="766"/>
      <c r="AE45" s="766"/>
      <c r="AF45" s="766"/>
      <c r="AG45" s="766"/>
      <c r="AH45" s="766"/>
      <c r="AI45" s="766"/>
      <c r="AJ45" s="766"/>
      <c r="AK45" s="766"/>
      <c r="AL45" s="766"/>
      <c r="AM45" s="766"/>
      <c r="AN45" s="77"/>
      <c r="AO45" s="77"/>
      <c r="AP45" s="77"/>
    </row>
    <row r="46" spans="1:42" ht="133.19999999999999" x14ac:dyDescent="0.3">
      <c r="A46" s="758"/>
      <c r="B46" s="759"/>
      <c r="C46" s="760"/>
      <c r="D46" s="450" t="s">
        <v>367</v>
      </c>
      <c r="E46" s="323" t="s">
        <v>385</v>
      </c>
      <c r="F46" s="583" t="s">
        <v>131</v>
      </c>
      <c r="G46" s="322"/>
      <c r="H46" s="85"/>
      <c r="I46" s="85"/>
      <c r="J46" s="85"/>
      <c r="K46" s="87"/>
      <c r="L46" s="87"/>
      <c r="M46" s="85"/>
      <c r="N46" s="85"/>
      <c r="O46" s="71"/>
      <c r="P46" s="71"/>
      <c r="Q46" s="71"/>
      <c r="R46" s="71"/>
      <c r="S46" s="71"/>
      <c r="T46" s="71"/>
      <c r="U46" s="71"/>
      <c r="V46" s="762"/>
      <c r="W46" s="759"/>
      <c r="X46" s="760"/>
      <c r="Y46" s="450" t="s">
        <v>367</v>
      </c>
      <c r="Z46" s="323" t="s">
        <v>385</v>
      </c>
      <c r="AA46" s="583" t="s">
        <v>131</v>
      </c>
      <c r="AB46" s="322"/>
      <c r="AC46" s="92"/>
      <c r="AD46" s="92"/>
      <c r="AE46" s="89"/>
      <c r="AF46" s="86"/>
      <c r="AG46" s="86"/>
      <c r="AH46" s="92"/>
      <c r="AI46" s="90"/>
      <c r="AJ46" s="91"/>
      <c r="AK46" s="91"/>
      <c r="AL46" s="91"/>
      <c r="AM46" s="91"/>
      <c r="AN46" s="91"/>
      <c r="AO46" s="91"/>
      <c r="AP46" s="91"/>
    </row>
    <row r="47" spans="1:42" ht="15.6" customHeight="1" x14ac:dyDescent="0.3">
      <c r="A47" s="1">
        <v>1</v>
      </c>
      <c r="B47" s="407" t="s">
        <v>10</v>
      </c>
      <c r="C47" s="413">
        <f>((D47+E47+F47)/3)</f>
        <v>26.333333333333332</v>
      </c>
      <c r="D47" s="542">
        <v>31</v>
      </c>
      <c r="E47" s="543">
        <v>18</v>
      </c>
      <c r="F47" s="544">
        <v>30</v>
      </c>
      <c r="G47" s="544"/>
      <c r="H47" s="544"/>
      <c r="I47" s="257"/>
      <c r="J47" s="269"/>
      <c r="K47" s="257"/>
      <c r="L47" s="257"/>
      <c r="M47" s="257"/>
      <c r="N47" s="275"/>
      <c r="O47" s="259"/>
      <c r="P47" s="259"/>
      <c r="Q47" s="259"/>
      <c r="R47" s="259"/>
      <c r="S47" s="259"/>
      <c r="T47" s="259"/>
      <c r="U47" s="259"/>
      <c r="V47" s="2">
        <v>15</v>
      </c>
      <c r="W47" s="422" t="s">
        <v>132</v>
      </c>
      <c r="X47" s="413">
        <f>((Y47+Z47+AA47)/3)</f>
        <v>11.666666666666666</v>
      </c>
      <c r="Y47" s="549"/>
      <c r="Z47" s="543">
        <v>35</v>
      </c>
      <c r="AA47" s="544"/>
      <c r="AB47" s="544"/>
      <c r="AC47" s="543"/>
      <c r="AD47" s="257"/>
      <c r="AE47" s="269"/>
      <c r="AF47" s="257"/>
      <c r="AG47" s="257"/>
      <c r="AH47" s="257"/>
      <c r="AI47" s="278"/>
      <c r="AJ47" s="257"/>
      <c r="AK47" s="257"/>
      <c r="AL47" s="279"/>
      <c r="AM47" s="279"/>
      <c r="AN47" s="270"/>
      <c r="AO47" s="270"/>
      <c r="AP47" s="270"/>
    </row>
    <row r="48" spans="1:42" ht="15.6" customHeight="1" x14ac:dyDescent="0.3">
      <c r="A48" s="1">
        <v>2</v>
      </c>
      <c r="B48" s="406" t="s">
        <v>22</v>
      </c>
      <c r="C48" s="413">
        <f t="shared" ref="C48:C60" si="4">((D48+E48+F48)/3)</f>
        <v>18</v>
      </c>
      <c r="D48" s="542">
        <v>18</v>
      </c>
      <c r="E48" s="544">
        <v>18</v>
      </c>
      <c r="F48" s="545">
        <v>18</v>
      </c>
      <c r="G48" s="544"/>
      <c r="H48" s="545"/>
      <c r="I48" s="261"/>
      <c r="J48" s="261"/>
      <c r="K48" s="261"/>
      <c r="L48" s="261"/>
      <c r="M48" s="261"/>
      <c r="N48" s="276"/>
      <c r="O48" s="264"/>
      <c r="P48" s="264"/>
      <c r="Q48" s="264"/>
      <c r="R48" s="264"/>
      <c r="S48" s="264"/>
      <c r="T48" s="264"/>
      <c r="U48" s="264"/>
      <c r="V48" s="2">
        <v>16</v>
      </c>
      <c r="W48" s="422" t="s">
        <v>133</v>
      </c>
      <c r="X48" s="413">
        <f t="shared" ref="X48:X61" si="5">((Y48+Z48+AA48)/3)</f>
        <v>16.666666666666668</v>
      </c>
      <c r="Y48" s="550">
        <v>15</v>
      </c>
      <c r="Z48" s="545">
        <v>35</v>
      </c>
      <c r="AA48" s="545"/>
      <c r="AB48" s="545"/>
      <c r="AC48" s="545"/>
      <c r="AD48" s="261"/>
      <c r="AE48" s="261"/>
      <c r="AF48" s="261"/>
      <c r="AG48" s="261"/>
      <c r="AH48" s="261"/>
      <c r="AI48" s="263"/>
      <c r="AJ48" s="261"/>
      <c r="AK48" s="280"/>
      <c r="AL48" s="280"/>
      <c r="AM48" s="280"/>
      <c r="AN48" s="272"/>
      <c r="AO48" s="272"/>
      <c r="AP48" s="272"/>
    </row>
    <row r="49" spans="1:42" ht="15.6" customHeight="1" x14ac:dyDescent="0.3">
      <c r="A49" s="1">
        <v>3</v>
      </c>
      <c r="B49" s="407" t="s">
        <v>12</v>
      </c>
      <c r="C49" s="413">
        <f t="shared" si="4"/>
        <v>21.666666666666668</v>
      </c>
      <c r="D49" s="542"/>
      <c r="E49" s="544">
        <v>35</v>
      </c>
      <c r="F49" s="545">
        <v>30</v>
      </c>
      <c r="G49" s="544"/>
      <c r="H49" s="545"/>
      <c r="I49" s="261"/>
      <c r="J49" s="261"/>
      <c r="K49" s="261"/>
      <c r="L49" s="257"/>
      <c r="M49" s="261"/>
      <c r="N49" s="276"/>
      <c r="O49" s="264"/>
      <c r="P49" s="264"/>
      <c r="Q49" s="264"/>
      <c r="R49" s="264"/>
      <c r="S49" s="264"/>
      <c r="T49" s="264"/>
      <c r="U49" s="264"/>
      <c r="V49" s="1">
        <v>17</v>
      </c>
      <c r="W49" s="422" t="s">
        <v>134</v>
      </c>
      <c r="X49" s="413">
        <f t="shared" si="5"/>
        <v>33.333333333333336</v>
      </c>
      <c r="Y49" s="550">
        <v>30</v>
      </c>
      <c r="Z49" s="545">
        <v>35</v>
      </c>
      <c r="AA49" s="545">
        <v>35</v>
      </c>
      <c r="AB49" s="545"/>
      <c r="AC49" s="545"/>
      <c r="AD49" s="261"/>
      <c r="AE49" s="261"/>
      <c r="AF49" s="261"/>
      <c r="AG49" s="261"/>
      <c r="AH49" s="261"/>
      <c r="AI49" s="263"/>
      <c r="AJ49" s="280"/>
      <c r="AK49" s="280"/>
      <c r="AL49" s="280"/>
      <c r="AM49" s="280"/>
      <c r="AN49" s="272"/>
      <c r="AO49" s="272"/>
      <c r="AP49" s="272"/>
    </row>
    <row r="50" spans="1:42" ht="15.6" customHeight="1" x14ac:dyDescent="0.3">
      <c r="A50" s="1">
        <v>4</v>
      </c>
      <c r="B50" s="406" t="s">
        <v>23</v>
      </c>
      <c r="C50" s="413">
        <f t="shared" si="4"/>
        <v>9.3333333333333339</v>
      </c>
      <c r="D50" s="542"/>
      <c r="E50" s="544"/>
      <c r="F50" s="545">
        <v>28</v>
      </c>
      <c r="G50" s="544"/>
      <c r="H50" s="545"/>
      <c r="I50" s="261"/>
      <c r="J50" s="261"/>
      <c r="K50" s="261"/>
      <c r="L50" s="261"/>
      <c r="M50" s="265"/>
      <c r="N50" s="277"/>
      <c r="O50" s="265"/>
      <c r="P50" s="265"/>
      <c r="Q50" s="265"/>
      <c r="R50" s="265"/>
      <c r="S50" s="265"/>
      <c r="T50" s="265"/>
      <c r="U50" s="265"/>
      <c r="V50" s="2">
        <v>18</v>
      </c>
      <c r="W50" s="422" t="s">
        <v>135</v>
      </c>
      <c r="X50" s="413">
        <f t="shared" si="5"/>
        <v>35</v>
      </c>
      <c r="Y50" s="550">
        <v>35</v>
      </c>
      <c r="Z50" s="548">
        <v>35</v>
      </c>
      <c r="AA50" s="545">
        <v>35</v>
      </c>
      <c r="AB50" s="545"/>
      <c r="AC50" s="545"/>
      <c r="AD50" s="261"/>
      <c r="AE50" s="261"/>
      <c r="AF50" s="261"/>
      <c r="AG50" s="261"/>
      <c r="AH50" s="261"/>
      <c r="AI50" s="263"/>
      <c r="AJ50" s="261"/>
      <c r="AK50" s="261"/>
      <c r="AL50" s="280"/>
      <c r="AM50" s="280"/>
      <c r="AN50" s="272"/>
      <c r="AO50" s="272"/>
      <c r="AP50" s="272"/>
    </row>
    <row r="51" spans="1:42" ht="15.6" customHeight="1" x14ac:dyDescent="0.3">
      <c r="A51" s="1">
        <v>5</v>
      </c>
      <c r="B51" s="407" t="s">
        <v>13</v>
      </c>
      <c r="C51" s="413">
        <f t="shared" si="4"/>
        <v>13.333333333333334</v>
      </c>
      <c r="D51" s="542">
        <v>30</v>
      </c>
      <c r="E51" s="544">
        <v>10</v>
      </c>
      <c r="F51" s="545">
        <v>0</v>
      </c>
      <c r="G51" s="544"/>
      <c r="H51" s="545"/>
      <c r="I51" s="261"/>
      <c r="J51" s="261"/>
      <c r="K51" s="261"/>
      <c r="L51" s="257"/>
      <c r="M51" s="261"/>
      <c r="N51" s="276"/>
      <c r="O51" s="264"/>
      <c r="P51" s="264"/>
      <c r="Q51" s="264"/>
      <c r="R51" s="264"/>
      <c r="S51" s="264"/>
      <c r="T51" s="264"/>
      <c r="U51" s="264"/>
      <c r="V51" s="175">
        <v>19</v>
      </c>
      <c r="W51" s="423" t="s">
        <v>136</v>
      </c>
      <c r="X51" s="413">
        <f t="shared" si="5"/>
        <v>15</v>
      </c>
      <c r="Y51" s="682">
        <v>18</v>
      </c>
      <c r="Z51" s="548">
        <v>9</v>
      </c>
      <c r="AA51" s="545">
        <v>18</v>
      </c>
      <c r="AB51" s="545"/>
      <c r="AC51" s="545"/>
      <c r="AD51" s="261"/>
      <c r="AE51" s="261"/>
      <c r="AF51" s="261"/>
      <c r="AG51" s="261"/>
      <c r="AH51" s="261"/>
      <c r="AI51" s="263"/>
      <c r="AJ51" s="280"/>
      <c r="AK51" s="280"/>
      <c r="AL51" s="280"/>
      <c r="AM51" s="280"/>
      <c r="AN51" s="272"/>
      <c r="AO51" s="272"/>
      <c r="AP51" s="272"/>
    </row>
    <row r="52" spans="1:42" ht="15.6" customHeight="1" x14ac:dyDescent="0.3">
      <c r="A52" s="1">
        <v>6</v>
      </c>
      <c r="B52" s="407" t="s">
        <v>52</v>
      </c>
      <c r="C52" s="413">
        <f t="shared" si="4"/>
        <v>12.666666666666666</v>
      </c>
      <c r="D52" s="546"/>
      <c r="E52" s="663">
        <v>18</v>
      </c>
      <c r="F52" s="545">
        <v>20</v>
      </c>
      <c r="G52" s="544"/>
      <c r="H52" s="545"/>
      <c r="I52" s="261"/>
      <c r="J52" s="261"/>
      <c r="K52" s="261"/>
      <c r="L52" s="261"/>
      <c r="M52" s="261"/>
      <c r="N52" s="276"/>
      <c r="O52" s="264"/>
      <c r="P52" s="264"/>
      <c r="Q52" s="264"/>
      <c r="R52" s="264"/>
      <c r="S52" s="264"/>
      <c r="T52" s="264"/>
      <c r="U52" s="264"/>
      <c r="V52" s="1">
        <v>20</v>
      </c>
      <c r="W52" s="422" t="s">
        <v>137</v>
      </c>
      <c r="X52" s="413">
        <f t="shared" si="5"/>
        <v>21</v>
      </c>
      <c r="Y52" s="550"/>
      <c r="Z52" s="545">
        <v>28</v>
      </c>
      <c r="AA52" s="545">
        <v>35</v>
      </c>
      <c r="AB52" s="545"/>
      <c r="AC52" s="545"/>
      <c r="AD52" s="261"/>
      <c r="AE52" s="261"/>
      <c r="AF52" s="261"/>
      <c r="AG52" s="261"/>
      <c r="AH52" s="261"/>
      <c r="AI52" s="263"/>
      <c r="AJ52" s="280"/>
      <c r="AK52" s="280"/>
      <c r="AL52" s="280"/>
      <c r="AM52" s="280"/>
      <c r="AN52" s="272"/>
      <c r="AO52" s="272"/>
      <c r="AP52" s="272"/>
    </row>
    <row r="53" spans="1:42" ht="15.6" customHeight="1" x14ac:dyDescent="0.3">
      <c r="A53" s="1">
        <v>7</v>
      </c>
      <c r="B53" s="407" t="s">
        <v>24</v>
      </c>
      <c r="C53" s="413">
        <f t="shared" si="4"/>
        <v>17</v>
      </c>
      <c r="D53" s="638">
        <v>18</v>
      </c>
      <c r="E53" s="639">
        <v>15</v>
      </c>
      <c r="F53" s="640">
        <v>18</v>
      </c>
      <c r="G53" s="544"/>
      <c r="H53" s="545"/>
      <c r="I53" s="261"/>
      <c r="J53" s="261"/>
      <c r="K53" s="261"/>
      <c r="L53" s="257"/>
      <c r="M53" s="261"/>
      <c r="N53" s="276"/>
      <c r="O53" s="264"/>
      <c r="P53" s="264"/>
      <c r="Q53" s="264"/>
      <c r="R53" s="264"/>
      <c r="S53" s="264"/>
      <c r="T53" s="264"/>
      <c r="U53" s="264"/>
      <c r="V53" s="2">
        <v>21</v>
      </c>
      <c r="W53" s="424" t="s">
        <v>138</v>
      </c>
      <c r="X53" s="413">
        <f t="shared" si="5"/>
        <v>18</v>
      </c>
      <c r="Y53" s="682">
        <v>18</v>
      </c>
      <c r="Z53" s="688">
        <v>18</v>
      </c>
      <c r="AA53" s="545">
        <v>18</v>
      </c>
      <c r="AB53" s="545"/>
      <c r="AC53" s="545"/>
      <c r="AD53" s="261"/>
      <c r="AE53" s="261"/>
      <c r="AF53" s="261"/>
      <c r="AG53" s="261"/>
      <c r="AH53" s="261"/>
      <c r="AI53" s="263"/>
      <c r="AJ53" s="280"/>
      <c r="AK53" s="280"/>
      <c r="AL53" s="280"/>
      <c r="AM53" s="280"/>
      <c r="AN53" s="272"/>
      <c r="AO53" s="272"/>
      <c r="AP53" s="272"/>
    </row>
    <row r="54" spans="1:42" ht="15.6" customHeight="1" x14ac:dyDescent="0.3">
      <c r="A54" s="1">
        <v>8</v>
      </c>
      <c r="B54" s="407" t="s">
        <v>14</v>
      </c>
      <c r="C54" s="413">
        <f t="shared" si="4"/>
        <v>22.666666666666668</v>
      </c>
      <c r="D54" s="547">
        <v>35</v>
      </c>
      <c r="E54" s="544">
        <v>33</v>
      </c>
      <c r="F54" s="545"/>
      <c r="G54" s="544"/>
      <c r="H54" s="545"/>
      <c r="I54" s="261"/>
      <c r="J54" s="261"/>
      <c r="K54" s="261"/>
      <c r="L54" s="261"/>
      <c r="M54" s="261"/>
      <c r="N54" s="276"/>
      <c r="O54" s="264"/>
      <c r="P54" s="264"/>
      <c r="Q54" s="264"/>
      <c r="R54" s="264"/>
      <c r="S54" s="264"/>
      <c r="T54" s="264"/>
      <c r="U54" s="264"/>
      <c r="V54" s="2">
        <v>22</v>
      </c>
      <c r="W54" s="422" t="s">
        <v>139</v>
      </c>
      <c r="X54" s="413">
        <f t="shared" si="5"/>
        <v>15.333333333333334</v>
      </c>
      <c r="Y54" s="687">
        <v>18</v>
      </c>
      <c r="Z54" s="545">
        <v>28</v>
      </c>
      <c r="AA54" s="545">
        <v>0</v>
      </c>
      <c r="AB54" s="545"/>
      <c r="AC54" s="545"/>
      <c r="AD54" s="261"/>
      <c r="AE54" s="261"/>
      <c r="AF54" s="261"/>
      <c r="AG54" s="261"/>
      <c r="AH54" s="261"/>
      <c r="AI54" s="263"/>
      <c r="AJ54" s="280"/>
      <c r="AK54" s="280"/>
      <c r="AL54" s="280"/>
      <c r="AM54" s="280"/>
      <c r="AN54" s="272"/>
      <c r="AO54" s="272"/>
      <c r="AP54" s="272"/>
    </row>
    <row r="55" spans="1:42" ht="15.6" customHeight="1" x14ac:dyDescent="0.3">
      <c r="A55" s="1">
        <v>9</v>
      </c>
      <c r="B55" s="407" t="s">
        <v>51</v>
      </c>
      <c r="C55" s="413">
        <f t="shared" si="4"/>
        <v>21</v>
      </c>
      <c r="D55" s="547">
        <v>23</v>
      </c>
      <c r="E55" s="544">
        <v>22</v>
      </c>
      <c r="F55" s="545">
        <v>18</v>
      </c>
      <c r="G55" s="544"/>
      <c r="H55" s="548"/>
      <c r="I55" s="261"/>
      <c r="J55" s="261"/>
      <c r="K55" s="261"/>
      <c r="L55" s="257"/>
      <c r="M55" s="261"/>
      <c r="N55" s="276"/>
      <c r="O55" s="264"/>
      <c r="P55" s="264"/>
      <c r="Q55" s="264"/>
      <c r="R55" s="264"/>
      <c r="S55" s="264"/>
      <c r="T55" s="264"/>
      <c r="U55" s="264"/>
      <c r="V55" s="1">
        <v>23</v>
      </c>
      <c r="W55" s="422" t="s">
        <v>140</v>
      </c>
      <c r="X55" s="413">
        <f t="shared" si="5"/>
        <v>21.666666666666668</v>
      </c>
      <c r="Y55" s="550">
        <v>35</v>
      </c>
      <c r="Z55" s="545">
        <v>15</v>
      </c>
      <c r="AA55" s="545">
        <v>15</v>
      </c>
      <c r="AB55" s="545"/>
      <c r="AC55" s="545"/>
      <c r="AD55" s="261"/>
      <c r="AE55" s="261"/>
      <c r="AF55" s="261"/>
      <c r="AG55" s="261"/>
      <c r="AH55" s="261"/>
      <c r="AI55" s="263"/>
      <c r="AJ55" s="280"/>
      <c r="AK55" s="280"/>
      <c r="AL55" s="280"/>
      <c r="AM55" s="280"/>
      <c r="AN55" s="272"/>
      <c r="AO55" s="272"/>
      <c r="AP55" s="272"/>
    </row>
    <row r="56" spans="1:42" ht="15.6" customHeight="1" x14ac:dyDescent="0.3">
      <c r="A56" s="1">
        <v>10</v>
      </c>
      <c r="B56" s="407" t="s">
        <v>62</v>
      </c>
      <c r="C56" s="413">
        <f t="shared" si="4"/>
        <v>19.666666666666668</v>
      </c>
      <c r="D56" s="635">
        <v>18</v>
      </c>
      <c r="E56" s="543">
        <v>23</v>
      </c>
      <c r="F56" s="661">
        <v>18</v>
      </c>
      <c r="G56" s="544"/>
      <c r="H56" s="548"/>
      <c r="I56" s="261"/>
      <c r="J56" s="261"/>
      <c r="K56" s="261"/>
      <c r="L56" s="257"/>
      <c r="M56" s="261"/>
      <c r="N56" s="276"/>
      <c r="O56" s="264"/>
      <c r="P56" s="264"/>
      <c r="Q56" s="264"/>
      <c r="R56" s="264"/>
      <c r="S56" s="264"/>
      <c r="T56" s="264"/>
      <c r="U56" s="264"/>
      <c r="V56" s="2">
        <v>24</v>
      </c>
      <c r="W56" s="422" t="s">
        <v>141</v>
      </c>
      <c r="X56" s="413">
        <f t="shared" si="5"/>
        <v>0</v>
      </c>
      <c r="Y56" s="549"/>
      <c r="Z56" s="548"/>
      <c r="AA56" s="545">
        <v>0</v>
      </c>
      <c r="AB56" s="545"/>
      <c r="AC56" s="548"/>
      <c r="AD56" s="261"/>
      <c r="AE56" s="261"/>
      <c r="AF56" s="261"/>
      <c r="AG56" s="261"/>
      <c r="AH56" s="261"/>
      <c r="AI56" s="263"/>
      <c r="AJ56" s="280"/>
      <c r="AK56" s="280"/>
      <c r="AL56" s="280"/>
      <c r="AM56" s="280"/>
      <c r="AN56" s="272"/>
      <c r="AO56" s="272"/>
      <c r="AP56" s="272"/>
    </row>
    <row r="57" spans="1:42" ht="15.6" customHeight="1" x14ac:dyDescent="0.3">
      <c r="A57" s="1">
        <v>11</v>
      </c>
      <c r="B57" s="407" t="s">
        <v>25</v>
      </c>
      <c r="C57" s="413">
        <f t="shared" si="4"/>
        <v>17.666666666666668</v>
      </c>
      <c r="D57" s="542"/>
      <c r="E57" s="544">
        <v>35</v>
      </c>
      <c r="F57" s="545">
        <v>18</v>
      </c>
      <c r="G57" s="544"/>
      <c r="H57" s="545"/>
      <c r="I57" s="261"/>
      <c r="J57" s="261"/>
      <c r="K57" s="261"/>
      <c r="L57" s="261"/>
      <c r="M57" s="261"/>
      <c r="N57" s="276"/>
      <c r="O57" s="264"/>
      <c r="P57" s="264"/>
      <c r="Q57" s="264"/>
      <c r="R57" s="264"/>
      <c r="S57" s="264"/>
      <c r="T57" s="264"/>
      <c r="U57" s="264"/>
      <c r="V57" s="2">
        <v>25</v>
      </c>
      <c r="W57" s="422" t="s">
        <v>142</v>
      </c>
      <c r="X57" s="413">
        <f t="shared" si="5"/>
        <v>12</v>
      </c>
      <c r="Y57" s="551">
        <v>18</v>
      </c>
      <c r="Z57" s="548">
        <v>18</v>
      </c>
      <c r="AA57" s="545">
        <v>0</v>
      </c>
      <c r="AB57" s="545"/>
      <c r="AC57" s="545"/>
      <c r="AD57" s="261"/>
      <c r="AE57" s="261"/>
      <c r="AF57" s="261"/>
      <c r="AG57" s="261"/>
      <c r="AH57" s="261"/>
      <c r="AI57" s="263"/>
      <c r="AJ57" s="280"/>
      <c r="AK57" s="280"/>
      <c r="AL57" s="280"/>
      <c r="AM57" s="280"/>
      <c r="AN57" s="272"/>
      <c r="AO57" s="272"/>
      <c r="AP57" s="272"/>
    </row>
    <row r="58" spans="1:42" ht="15.6" customHeight="1" x14ac:dyDescent="0.3">
      <c r="A58" s="1">
        <v>12</v>
      </c>
      <c r="B58" s="407" t="s">
        <v>15</v>
      </c>
      <c r="C58" s="413">
        <f t="shared" si="4"/>
        <v>17.333333333333332</v>
      </c>
      <c r="D58" s="683">
        <v>12</v>
      </c>
      <c r="E58" s="681">
        <v>18</v>
      </c>
      <c r="F58" s="545">
        <v>22</v>
      </c>
      <c r="G58" s="544"/>
      <c r="H58" s="545"/>
      <c r="I58" s="261"/>
      <c r="J58" s="261"/>
      <c r="K58" s="261"/>
      <c r="L58" s="257"/>
      <c r="M58" s="261"/>
      <c r="N58" s="276"/>
      <c r="O58" s="264"/>
      <c r="P58" s="264"/>
      <c r="Q58" s="264"/>
      <c r="R58" s="264"/>
      <c r="S58" s="264"/>
      <c r="T58" s="264"/>
      <c r="U58" s="264"/>
      <c r="V58" s="1">
        <v>26</v>
      </c>
      <c r="W58" s="422" t="s">
        <v>143</v>
      </c>
      <c r="X58" s="413">
        <f t="shared" si="5"/>
        <v>18</v>
      </c>
      <c r="Y58" s="685">
        <v>18</v>
      </c>
      <c r="Z58" s="545">
        <v>18</v>
      </c>
      <c r="AA58" s="545">
        <v>18</v>
      </c>
      <c r="AB58" s="545"/>
      <c r="AC58" s="545"/>
      <c r="AD58" s="261"/>
      <c r="AE58" s="261"/>
      <c r="AF58" s="261"/>
      <c r="AG58" s="261"/>
      <c r="AH58" s="261"/>
      <c r="AI58" s="263"/>
      <c r="AJ58" s="261"/>
      <c r="AK58" s="261"/>
      <c r="AL58" s="280"/>
      <c r="AM58" s="280"/>
      <c r="AN58" s="272"/>
      <c r="AO58" s="272"/>
      <c r="AP58" s="272"/>
    </row>
    <row r="59" spans="1:42" ht="15.6" customHeight="1" thickBot="1" x14ac:dyDescent="0.35">
      <c r="A59" s="1">
        <v>13</v>
      </c>
      <c r="B59" s="407" t="s">
        <v>26</v>
      </c>
      <c r="C59" s="413">
        <f t="shared" si="4"/>
        <v>17.333333333333332</v>
      </c>
      <c r="D59" s="547">
        <v>30</v>
      </c>
      <c r="E59" s="548">
        <v>22</v>
      </c>
      <c r="F59" s="545"/>
      <c r="G59" s="545"/>
      <c r="H59" s="548"/>
      <c r="I59" s="261"/>
      <c r="J59" s="261"/>
      <c r="K59" s="261"/>
      <c r="L59" s="261"/>
      <c r="M59" s="261"/>
      <c r="N59" s="264"/>
      <c r="O59" s="264"/>
      <c r="P59" s="264"/>
      <c r="Q59" s="264"/>
      <c r="R59" s="264"/>
      <c r="S59" s="264"/>
      <c r="T59" s="264"/>
      <c r="U59" s="264"/>
      <c r="V59" s="2">
        <v>27</v>
      </c>
      <c r="W59" s="422" t="s">
        <v>144</v>
      </c>
      <c r="X59" s="413">
        <f t="shared" si="5"/>
        <v>0</v>
      </c>
      <c r="Y59" s="552"/>
      <c r="Z59" s="545"/>
      <c r="AA59" s="545">
        <v>0</v>
      </c>
      <c r="AB59" s="545"/>
      <c r="AC59" s="545"/>
      <c r="AD59" s="261"/>
      <c r="AE59" s="283"/>
      <c r="AF59" s="261"/>
      <c r="AG59" s="274"/>
      <c r="AH59" s="274"/>
      <c r="AI59" s="274"/>
      <c r="AJ59" s="272"/>
      <c r="AK59" s="272"/>
      <c r="AL59" s="272"/>
      <c r="AM59" s="272"/>
      <c r="AN59" s="272"/>
      <c r="AO59" s="272"/>
      <c r="AP59" s="272"/>
    </row>
    <row r="60" spans="1:42" ht="15.6" customHeight="1" x14ac:dyDescent="0.3">
      <c r="A60" s="1">
        <v>14</v>
      </c>
      <c r="B60" s="407" t="s">
        <v>16</v>
      </c>
      <c r="C60" s="413">
        <f t="shared" si="4"/>
        <v>35</v>
      </c>
      <c r="D60" s="547">
        <v>35</v>
      </c>
      <c r="E60" s="545">
        <v>35</v>
      </c>
      <c r="F60" s="545">
        <v>35</v>
      </c>
      <c r="G60" s="545"/>
      <c r="H60" s="548"/>
      <c r="I60" s="261"/>
      <c r="J60" s="261"/>
      <c r="K60" s="261"/>
      <c r="L60" s="261"/>
      <c r="M60" s="261"/>
      <c r="N60" s="264"/>
      <c r="O60" s="264"/>
      <c r="P60" s="264"/>
      <c r="Q60" s="264"/>
      <c r="R60" s="264"/>
      <c r="S60" s="264"/>
      <c r="T60" s="264"/>
      <c r="U60" s="264"/>
      <c r="V60" s="2">
        <v>28</v>
      </c>
      <c r="W60" s="422" t="s">
        <v>145</v>
      </c>
      <c r="X60" s="413">
        <f t="shared" si="5"/>
        <v>18</v>
      </c>
      <c r="Y60" s="553">
        <v>18</v>
      </c>
      <c r="Z60" s="554">
        <v>18</v>
      </c>
      <c r="AA60" s="554">
        <v>18</v>
      </c>
      <c r="AB60" s="554"/>
      <c r="AC60" s="554"/>
      <c r="AD60" s="291"/>
      <c r="AE60" s="295"/>
      <c r="AF60" s="291"/>
      <c r="AG60" s="292"/>
      <c r="AH60" s="292"/>
      <c r="AI60" s="292"/>
      <c r="AJ60" s="293"/>
      <c r="AK60" s="293"/>
      <c r="AL60" s="293"/>
      <c r="AM60" s="293"/>
      <c r="AN60" s="293"/>
      <c r="AO60" s="293"/>
      <c r="AP60" s="293"/>
    </row>
    <row r="61" spans="1:42" ht="15.6" customHeight="1" x14ac:dyDescent="0.3">
      <c r="B61" s="73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W61" s="411" t="s">
        <v>305</v>
      </c>
      <c r="X61" s="413">
        <f t="shared" si="5"/>
        <v>17.666666666666668</v>
      </c>
      <c r="Y61" s="555"/>
      <c r="Z61" s="117">
        <v>35</v>
      </c>
      <c r="AA61" s="117">
        <v>18</v>
      </c>
      <c r="AB61" s="177"/>
      <c r="AC61" s="177"/>
      <c r="AD61" s="177"/>
      <c r="AE61" s="177"/>
      <c r="AF61" s="177"/>
      <c r="AG61" s="177"/>
      <c r="AH61" s="177"/>
      <c r="AI61" s="177"/>
      <c r="AJ61" s="177"/>
      <c r="AK61" s="177"/>
      <c r="AL61" s="177"/>
      <c r="AM61" s="177"/>
      <c r="AN61" s="177"/>
      <c r="AO61" s="177"/>
      <c r="AP61" s="177"/>
    </row>
    <row r="62" spans="1:42" ht="18" x14ac:dyDescent="0.3">
      <c r="B62" s="73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W62" s="414"/>
      <c r="X62" s="415"/>
      <c r="Y62" s="395"/>
      <c r="Z62" s="395"/>
      <c r="AA62" s="397"/>
      <c r="AB62" s="427"/>
      <c r="AC62" s="427"/>
      <c r="AD62" s="427"/>
      <c r="AE62" s="427"/>
      <c r="AF62" s="427"/>
      <c r="AG62" s="427"/>
      <c r="AH62" s="427"/>
      <c r="AI62" s="427"/>
      <c r="AJ62" s="427"/>
      <c r="AK62" s="427"/>
      <c r="AL62" s="427"/>
      <c r="AM62" s="427"/>
      <c r="AN62" s="427"/>
      <c r="AO62" s="427"/>
      <c r="AP62" s="427"/>
    </row>
    <row r="63" spans="1:42" ht="21" x14ac:dyDescent="0.3">
      <c r="A63" s="757" t="s">
        <v>146</v>
      </c>
      <c r="B63" s="757"/>
      <c r="C63" s="757"/>
      <c r="D63" s="757"/>
      <c r="E63" s="757"/>
      <c r="F63" s="757"/>
      <c r="G63" s="757"/>
      <c r="H63" s="757"/>
      <c r="I63" s="757"/>
      <c r="J63" s="757"/>
      <c r="K63" s="757"/>
      <c r="L63" s="757"/>
      <c r="M63" s="757"/>
      <c r="N63" s="757"/>
      <c r="O63" s="757"/>
      <c r="P63" s="757"/>
      <c r="Q63" s="757"/>
      <c r="R63" s="757"/>
      <c r="S63" s="757"/>
      <c r="T63" s="757"/>
      <c r="U63" s="757"/>
      <c r="V63" s="757"/>
      <c r="W63" s="757"/>
      <c r="X63" s="757"/>
      <c r="Y63" s="757"/>
      <c r="Z63" s="757"/>
      <c r="AA63" s="757"/>
      <c r="AB63" s="757"/>
      <c r="AC63" s="757"/>
      <c r="AD63" s="757"/>
      <c r="AE63" s="757"/>
      <c r="AF63" s="757"/>
      <c r="AG63" s="757"/>
      <c r="AH63" s="757"/>
      <c r="AI63" s="757"/>
      <c r="AJ63" s="757"/>
      <c r="AK63" s="757"/>
      <c r="AL63" s="757"/>
      <c r="AM63" s="757"/>
      <c r="AN63" s="757"/>
      <c r="AO63" s="757"/>
      <c r="AP63" s="757"/>
    </row>
    <row r="64" spans="1:42" ht="18" x14ac:dyDescent="0.3">
      <c r="A64" s="758" t="s">
        <v>34</v>
      </c>
      <c r="B64" s="759"/>
      <c r="C64" s="760" t="s">
        <v>1</v>
      </c>
      <c r="D64" s="767" t="s">
        <v>55</v>
      </c>
      <c r="E64" s="767"/>
      <c r="F64" s="767"/>
      <c r="G64" s="767"/>
      <c r="H64" s="767"/>
      <c r="I64" s="767"/>
      <c r="J64" s="767"/>
      <c r="K64" s="767"/>
      <c r="L64" s="767"/>
      <c r="M64" s="767"/>
      <c r="N64" s="767"/>
      <c r="O64" s="767"/>
      <c r="P64" s="767"/>
      <c r="Q64" s="767"/>
      <c r="R64" s="767"/>
      <c r="S64" s="767"/>
      <c r="T64" s="767"/>
      <c r="U64" s="767"/>
      <c r="V64" s="762" t="s">
        <v>34</v>
      </c>
      <c r="W64" s="759"/>
      <c r="X64" s="760" t="s">
        <v>1</v>
      </c>
      <c r="Y64" s="767" t="s">
        <v>55</v>
      </c>
      <c r="Z64" s="767"/>
      <c r="AA64" s="767"/>
      <c r="AB64" s="767"/>
      <c r="AC64" s="767"/>
      <c r="AD64" s="767"/>
      <c r="AE64" s="767"/>
      <c r="AF64" s="767"/>
      <c r="AG64" s="767"/>
      <c r="AH64" s="767"/>
      <c r="AI64" s="767"/>
      <c r="AJ64" s="767"/>
      <c r="AK64" s="767"/>
      <c r="AL64" s="767"/>
      <c r="AM64" s="767"/>
      <c r="AN64" s="767"/>
      <c r="AO64" s="767"/>
      <c r="AP64" s="767"/>
    </row>
    <row r="65" spans="1:42" x14ac:dyDescent="0.3">
      <c r="A65" s="758"/>
      <c r="B65" s="759"/>
      <c r="C65" s="760"/>
      <c r="D65" s="446">
        <v>1</v>
      </c>
      <c r="E65" s="95">
        <v>2</v>
      </c>
      <c r="F65" s="95">
        <v>3</v>
      </c>
      <c r="G65" s="95">
        <v>4</v>
      </c>
      <c r="H65" s="95">
        <v>5</v>
      </c>
      <c r="I65" s="95">
        <v>6</v>
      </c>
      <c r="J65" s="95">
        <v>7</v>
      </c>
      <c r="K65" s="95">
        <v>8</v>
      </c>
      <c r="L65" s="95">
        <v>9</v>
      </c>
      <c r="M65" s="95">
        <v>10</v>
      </c>
      <c r="N65" s="95">
        <v>11</v>
      </c>
      <c r="O65" s="95">
        <v>12</v>
      </c>
      <c r="P65" s="95">
        <v>13</v>
      </c>
      <c r="Q65" s="95">
        <v>14</v>
      </c>
      <c r="R65" s="95">
        <v>15</v>
      </c>
      <c r="S65" s="95">
        <v>16</v>
      </c>
      <c r="T65" s="95">
        <v>17</v>
      </c>
      <c r="U65" s="95">
        <v>18</v>
      </c>
      <c r="V65" s="762"/>
      <c r="W65" s="759"/>
      <c r="X65" s="760"/>
      <c r="Y65" s="446">
        <v>1</v>
      </c>
      <c r="Z65" s="95">
        <v>2</v>
      </c>
      <c r="AA65" s="95">
        <v>3</v>
      </c>
      <c r="AB65" s="95">
        <v>4</v>
      </c>
      <c r="AC65" s="95">
        <v>5</v>
      </c>
      <c r="AD65" s="95">
        <v>6</v>
      </c>
      <c r="AE65" s="95">
        <v>7</v>
      </c>
      <c r="AF65" s="95">
        <v>8</v>
      </c>
      <c r="AG65" s="95">
        <v>9</v>
      </c>
      <c r="AH65" s="95">
        <v>10</v>
      </c>
      <c r="AI65" s="95">
        <v>11</v>
      </c>
      <c r="AJ65" s="72">
        <v>12</v>
      </c>
      <c r="AK65" s="72">
        <v>13</v>
      </c>
      <c r="AL65" s="72">
        <v>14</v>
      </c>
      <c r="AM65" s="72">
        <v>15</v>
      </c>
      <c r="AN65" s="72">
        <v>16</v>
      </c>
      <c r="AO65" s="72">
        <v>17</v>
      </c>
      <c r="AP65" s="72">
        <v>18</v>
      </c>
    </row>
    <row r="66" spans="1:42" x14ac:dyDescent="0.3">
      <c r="A66" s="758"/>
      <c r="B66" s="759"/>
      <c r="C66" s="760"/>
      <c r="D66" s="763" t="s">
        <v>3</v>
      </c>
      <c r="E66" s="764"/>
      <c r="F66" s="764"/>
      <c r="G66" s="764"/>
      <c r="H66" s="764"/>
      <c r="I66" s="764"/>
      <c r="J66" s="764"/>
      <c r="K66" s="764"/>
      <c r="L66" s="764"/>
      <c r="M66" s="764"/>
      <c r="N66" s="764"/>
      <c r="O66" s="764"/>
      <c r="P66" s="764"/>
      <c r="Q66" s="764"/>
      <c r="R66" s="765"/>
      <c r="S66" s="74"/>
      <c r="T66" s="76"/>
      <c r="U66" s="76"/>
      <c r="V66" s="762"/>
      <c r="W66" s="759"/>
      <c r="X66" s="760"/>
      <c r="Y66" s="766" t="s">
        <v>3</v>
      </c>
      <c r="Z66" s="766"/>
      <c r="AA66" s="766"/>
      <c r="AB66" s="766"/>
      <c r="AC66" s="766"/>
      <c r="AD66" s="766"/>
      <c r="AE66" s="766"/>
      <c r="AF66" s="766"/>
      <c r="AG66" s="766"/>
      <c r="AH66" s="766"/>
      <c r="AI66" s="766"/>
      <c r="AJ66" s="766"/>
      <c r="AK66" s="766"/>
      <c r="AL66" s="766"/>
      <c r="AM66" s="766"/>
      <c r="AN66" s="77"/>
      <c r="AO66" s="77"/>
      <c r="AP66" s="77"/>
    </row>
    <row r="67" spans="1:42" ht="124.2" x14ac:dyDescent="0.3">
      <c r="A67" s="758"/>
      <c r="B67" s="759"/>
      <c r="C67" s="760"/>
      <c r="D67" s="586" t="s">
        <v>358</v>
      </c>
      <c r="E67" s="690" t="s">
        <v>359</v>
      </c>
      <c r="F67" s="646" t="s">
        <v>382</v>
      </c>
      <c r="G67" s="647" t="s">
        <v>387</v>
      </c>
      <c r="H67" s="648" t="s">
        <v>391</v>
      </c>
      <c r="I67" s="647" t="s">
        <v>393</v>
      </c>
      <c r="J67" s="649" t="s">
        <v>395</v>
      </c>
      <c r="K67" s="584" t="s">
        <v>411</v>
      </c>
      <c r="L67" s="322"/>
      <c r="M67" s="323"/>
      <c r="N67" s="85"/>
      <c r="O67" s="71"/>
      <c r="P67" s="71"/>
      <c r="Q67" s="71"/>
      <c r="R67" s="71"/>
      <c r="S67" s="71"/>
      <c r="T67" s="71"/>
      <c r="U67" s="71"/>
      <c r="V67" s="762"/>
      <c r="W67" s="759"/>
      <c r="X67" s="760"/>
      <c r="Y67" s="586" t="s">
        <v>358</v>
      </c>
      <c r="Z67" s="585" t="s">
        <v>359</v>
      </c>
      <c r="AA67" s="540" t="s">
        <v>382</v>
      </c>
      <c r="AB67" s="559" t="s">
        <v>387</v>
      </c>
      <c r="AC67" s="556" t="s">
        <v>391</v>
      </c>
      <c r="AD67" s="559" t="s">
        <v>393</v>
      </c>
      <c r="AE67" s="568" t="s">
        <v>395</v>
      </c>
      <c r="AF67" s="584" t="s">
        <v>411</v>
      </c>
      <c r="AG67" s="322"/>
      <c r="AH67" s="323"/>
      <c r="AI67" s="90"/>
      <c r="AJ67" s="91"/>
      <c r="AK67" s="91"/>
      <c r="AL67" s="91"/>
      <c r="AM67" s="91"/>
      <c r="AN67" s="91"/>
      <c r="AO67" s="91"/>
      <c r="AP67" s="91"/>
    </row>
    <row r="68" spans="1:42" ht="15.6" customHeight="1" x14ac:dyDescent="0.3">
      <c r="A68" s="1">
        <v>1</v>
      </c>
      <c r="B68" s="581" t="s">
        <v>398</v>
      </c>
      <c r="C68" s="413">
        <f>((D68+E68+F68+G68+H68+I68+J68+K68)/8)</f>
        <v>27.5</v>
      </c>
      <c r="D68" s="509">
        <v>28</v>
      </c>
      <c r="E68" s="510">
        <v>33</v>
      </c>
      <c r="F68" s="510">
        <v>16</v>
      </c>
      <c r="G68" s="455">
        <v>35</v>
      </c>
      <c r="H68" s="455">
        <v>28</v>
      </c>
      <c r="I68" s="455">
        <v>30</v>
      </c>
      <c r="J68" s="511">
        <v>30</v>
      </c>
      <c r="K68" s="455">
        <v>20</v>
      </c>
      <c r="L68" s="455"/>
      <c r="M68" s="152"/>
      <c r="N68" s="275"/>
      <c r="O68" s="259"/>
      <c r="P68" s="259"/>
      <c r="Q68" s="259"/>
      <c r="R68" s="259"/>
      <c r="S68" s="259"/>
      <c r="T68" s="259"/>
      <c r="U68" s="259"/>
      <c r="V68" s="2">
        <v>15</v>
      </c>
      <c r="W68" s="407" t="s">
        <v>17</v>
      </c>
      <c r="X68" s="413">
        <f>((Y68+Z68+AA68+AB68+AC68+AD68+AE68+AF68)/8)</f>
        <v>18.625</v>
      </c>
      <c r="Y68" s="517">
        <v>0</v>
      </c>
      <c r="Z68" s="455">
        <v>28</v>
      </c>
      <c r="AA68" s="510"/>
      <c r="AB68" s="455">
        <v>32</v>
      </c>
      <c r="AC68" s="455">
        <v>26</v>
      </c>
      <c r="AD68" s="510">
        <v>35</v>
      </c>
      <c r="AE68" s="511">
        <v>28</v>
      </c>
      <c r="AF68" s="455"/>
      <c r="AG68" s="455"/>
      <c r="AH68" s="152"/>
      <c r="AI68" s="278" t="s">
        <v>353</v>
      </c>
      <c r="AJ68" s="257"/>
      <c r="AK68" s="257"/>
      <c r="AL68" s="279"/>
      <c r="AM68" s="279"/>
      <c r="AN68" s="270"/>
      <c r="AO68" s="270"/>
      <c r="AP68" s="270"/>
    </row>
    <row r="69" spans="1:42" ht="15.6" customHeight="1" x14ac:dyDescent="0.3">
      <c r="A69" s="1">
        <v>2</v>
      </c>
      <c r="B69" s="406" t="s">
        <v>22</v>
      </c>
      <c r="C69" s="413">
        <f t="shared" ref="C69:C81" si="6">((D69+E69+F69+G69+H69+I69+J69+K69)/8)</f>
        <v>18.375</v>
      </c>
      <c r="D69" s="512">
        <v>0</v>
      </c>
      <c r="E69" s="459"/>
      <c r="F69" s="455">
        <v>26</v>
      </c>
      <c r="G69" s="455">
        <v>18</v>
      </c>
      <c r="H69" s="455">
        <v>33</v>
      </c>
      <c r="I69" s="513">
        <v>18</v>
      </c>
      <c r="J69" s="459">
        <v>30</v>
      </c>
      <c r="K69" s="459">
        <v>22</v>
      </c>
      <c r="L69" s="459"/>
      <c r="M69" s="156"/>
      <c r="N69" s="276" t="s">
        <v>352</v>
      </c>
      <c r="O69" s="264"/>
      <c r="P69" s="264"/>
      <c r="Q69" s="264"/>
      <c r="R69" s="264"/>
      <c r="S69" s="264"/>
      <c r="T69" s="264"/>
      <c r="U69" s="264"/>
      <c r="V69" s="2">
        <v>16</v>
      </c>
      <c r="W69" s="581" t="s">
        <v>402</v>
      </c>
      <c r="X69" s="413">
        <f t="shared" ref="X69:X82" si="7">((Y69+Z69+AA69+AB69+AC69+AD69+AE69+AF69)/8)</f>
        <v>22.5</v>
      </c>
      <c r="Y69" s="518">
        <v>30</v>
      </c>
      <c r="Z69" s="513">
        <v>32</v>
      </c>
      <c r="AA69" s="459">
        <v>24</v>
      </c>
      <c r="AB69" s="459">
        <v>22</v>
      </c>
      <c r="AC69" s="459">
        <v>26</v>
      </c>
      <c r="AD69" s="459">
        <v>24</v>
      </c>
      <c r="AE69" s="459">
        <v>22</v>
      </c>
      <c r="AF69" s="459"/>
      <c r="AG69" s="459"/>
      <c r="AH69" s="156"/>
      <c r="AI69" s="263"/>
      <c r="AJ69" s="261"/>
      <c r="AK69" s="280"/>
      <c r="AL69" s="280"/>
      <c r="AM69" s="280"/>
      <c r="AN69" s="272"/>
      <c r="AO69" s="272"/>
      <c r="AP69" s="272"/>
    </row>
    <row r="70" spans="1:42" ht="15.6" customHeight="1" x14ac:dyDescent="0.3">
      <c r="A70" s="1">
        <v>3</v>
      </c>
      <c r="B70" s="407" t="s">
        <v>12</v>
      </c>
      <c r="C70" s="413">
        <f t="shared" si="6"/>
        <v>30.5</v>
      </c>
      <c r="D70" s="512">
        <v>35</v>
      </c>
      <c r="E70" s="459">
        <v>35</v>
      </c>
      <c r="F70" s="641">
        <v>28</v>
      </c>
      <c r="G70" s="455">
        <v>30</v>
      </c>
      <c r="H70" s="510">
        <v>30</v>
      </c>
      <c r="I70" s="459">
        <v>28</v>
      </c>
      <c r="J70" s="459">
        <v>30</v>
      </c>
      <c r="K70" s="459">
        <v>28</v>
      </c>
      <c r="L70" s="455"/>
      <c r="M70" s="156"/>
      <c r="N70" s="276"/>
      <c r="O70" s="264"/>
      <c r="P70" s="264"/>
      <c r="Q70" s="264"/>
      <c r="R70" s="264"/>
      <c r="S70" s="264"/>
      <c r="T70" s="264"/>
      <c r="U70" s="264"/>
      <c r="V70" s="1">
        <v>17</v>
      </c>
      <c r="W70" s="407" t="s">
        <v>130</v>
      </c>
      <c r="X70" s="413">
        <f t="shared" si="7"/>
        <v>29.375</v>
      </c>
      <c r="Y70" s="519">
        <v>35</v>
      </c>
      <c r="Z70" s="459">
        <v>35</v>
      </c>
      <c r="AA70" s="459">
        <v>35</v>
      </c>
      <c r="AB70" s="459">
        <v>30</v>
      </c>
      <c r="AC70" s="459">
        <v>35</v>
      </c>
      <c r="AD70" s="459">
        <v>35</v>
      </c>
      <c r="AE70" s="459">
        <v>30</v>
      </c>
      <c r="AF70" s="459"/>
      <c r="AG70" s="459"/>
      <c r="AH70" s="156"/>
      <c r="AI70" s="263"/>
      <c r="AJ70" s="280"/>
      <c r="AK70" s="280"/>
      <c r="AL70" s="280"/>
      <c r="AM70" s="280"/>
      <c r="AN70" s="272"/>
      <c r="AO70" s="272"/>
      <c r="AP70" s="272"/>
    </row>
    <row r="71" spans="1:42" ht="15.6" customHeight="1" x14ac:dyDescent="0.3">
      <c r="A71" s="1">
        <v>4</v>
      </c>
      <c r="B71" s="406" t="s">
        <v>23</v>
      </c>
      <c r="C71" s="413">
        <f t="shared" si="6"/>
        <v>27.5</v>
      </c>
      <c r="D71" s="512">
        <v>22</v>
      </c>
      <c r="E71" s="459">
        <v>27</v>
      </c>
      <c r="F71" s="455">
        <v>31</v>
      </c>
      <c r="G71" s="455">
        <v>28</v>
      </c>
      <c r="H71" s="455">
        <v>30</v>
      </c>
      <c r="I71" s="459">
        <v>29</v>
      </c>
      <c r="J71" s="459">
        <v>30</v>
      </c>
      <c r="K71" s="459">
        <v>23</v>
      </c>
      <c r="L71" s="459"/>
      <c r="M71" s="158"/>
      <c r="N71" s="277" t="s">
        <v>353</v>
      </c>
      <c r="O71" s="265"/>
      <c r="P71" s="265"/>
      <c r="Q71" s="265"/>
      <c r="R71" s="265"/>
      <c r="S71" s="265"/>
      <c r="T71" s="265"/>
      <c r="U71" s="265"/>
      <c r="V71" s="2">
        <v>18</v>
      </c>
      <c r="W71" s="407" t="s">
        <v>28</v>
      </c>
      <c r="X71" s="413">
        <f t="shared" si="7"/>
        <v>26</v>
      </c>
      <c r="Y71" s="519">
        <v>35</v>
      </c>
      <c r="Z71" s="459">
        <v>33</v>
      </c>
      <c r="AA71" s="459">
        <v>35</v>
      </c>
      <c r="AB71" s="459">
        <v>35</v>
      </c>
      <c r="AC71" s="459">
        <v>35</v>
      </c>
      <c r="AD71" s="459"/>
      <c r="AE71" s="459">
        <v>35</v>
      </c>
      <c r="AF71" s="459"/>
      <c r="AG71" s="459"/>
      <c r="AH71" s="156"/>
      <c r="AI71" s="263"/>
      <c r="AJ71" s="261"/>
      <c r="AK71" s="261"/>
      <c r="AL71" s="280"/>
      <c r="AM71" s="280"/>
      <c r="AN71" s="272"/>
      <c r="AO71" s="272"/>
      <c r="AP71" s="272"/>
    </row>
    <row r="72" spans="1:42" ht="15.6" customHeight="1" x14ac:dyDescent="0.3">
      <c r="A72" s="1">
        <v>5</v>
      </c>
      <c r="B72" s="581" t="s">
        <v>406</v>
      </c>
      <c r="C72" s="413">
        <f t="shared" si="6"/>
        <v>27.125</v>
      </c>
      <c r="D72" s="514">
        <v>28</v>
      </c>
      <c r="E72" s="459">
        <v>27</v>
      </c>
      <c r="F72" s="455">
        <v>30</v>
      </c>
      <c r="G72" s="455">
        <v>29</v>
      </c>
      <c r="H72" s="455">
        <v>19</v>
      </c>
      <c r="I72" s="459">
        <v>30</v>
      </c>
      <c r="J72" s="459">
        <v>28</v>
      </c>
      <c r="K72" s="459">
        <v>26</v>
      </c>
      <c r="L72" s="455"/>
      <c r="M72" s="156"/>
      <c r="N72" s="276"/>
      <c r="O72" s="264"/>
      <c r="P72" s="264"/>
      <c r="Q72" s="264"/>
      <c r="R72" s="264"/>
      <c r="S72" s="264"/>
      <c r="T72" s="264"/>
      <c r="U72" s="264"/>
      <c r="V72" s="2">
        <v>19</v>
      </c>
      <c r="W72" s="408" t="s">
        <v>29</v>
      </c>
      <c r="X72" s="413">
        <f t="shared" si="7"/>
        <v>19.875</v>
      </c>
      <c r="Y72" s="632">
        <v>22</v>
      </c>
      <c r="Z72" s="459"/>
      <c r="AA72" s="631">
        <v>18</v>
      </c>
      <c r="AB72" s="459">
        <v>18</v>
      </c>
      <c r="AC72" s="459">
        <v>28</v>
      </c>
      <c r="AD72" s="631">
        <v>18</v>
      </c>
      <c r="AE72" s="459">
        <v>25</v>
      </c>
      <c r="AF72" s="459">
        <v>30</v>
      </c>
      <c r="AG72" s="459"/>
      <c r="AH72" s="156"/>
      <c r="AI72" s="263" t="s">
        <v>353</v>
      </c>
      <c r="AJ72" s="280"/>
      <c r="AK72" s="280"/>
      <c r="AL72" s="280"/>
      <c r="AM72" s="280"/>
      <c r="AN72" s="272"/>
      <c r="AO72" s="272"/>
      <c r="AP72" s="272"/>
    </row>
    <row r="73" spans="1:42" ht="15.6" customHeight="1" x14ac:dyDescent="0.3">
      <c r="A73" s="1">
        <v>6</v>
      </c>
      <c r="B73" s="581" t="s">
        <v>407</v>
      </c>
      <c r="C73" s="413">
        <f t="shared" si="6"/>
        <v>15.5</v>
      </c>
      <c r="D73" s="512">
        <v>35</v>
      </c>
      <c r="E73" s="631">
        <v>22</v>
      </c>
      <c r="F73" s="510">
        <v>18</v>
      </c>
      <c r="G73" s="455"/>
      <c r="H73" s="641">
        <v>20</v>
      </c>
      <c r="I73" s="513">
        <v>7</v>
      </c>
      <c r="J73" s="459">
        <v>0</v>
      </c>
      <c r="K73" s="459">
        <v>22</v>
      </c>
      <c r="L73" s="459"/>
      <c r="M73" s="156"/>
      <c r="N73" s="276" t="s">
        <v>353</v>
      </c>
      <c r="O73" s="264"/>
      <c r="P73" s="264"/>
      <c r="Q73" s="264"/>
      <c r="R73" s="264"/>
      <c r="S73" s="264"/>
      <c r="T73" s="264"/>
      <c r="U73" s="264"/>
      <c r="V73" s="1">
        <v>20</v>
      </c>
      <c r="W73" s="407" t="s">
        <v>18</v>
      </c>
      <c r="X73" s="413">
        <f t="shared" si="7"/>
        <v>27.125</v>
      </c>
      <c r="Y73" s="519">
        <v>30</v>
      </c>
      <c r="Z73" s="459">
        <v>34</v>
      </c>
      <c r="AA73" s="459">
        <v>30</v>
      </c>
      <c r="AB73" s="459">
        <v>32</v>
      </c>
      <c r="AC73" s="459">
        <v>35</v>
      </c>
      <c r="AD73" s="459">
        <v>21</v>
      </c>
      <c r="AE73" s="459">
        <v>35</v>
      </c>
      <c r="AF73" s="459"/>
      <c r="AG73" s="459"/>
      <c r="AH73" s="156"/>
      <c r="AI73" s="263"/>
      <c r="AJ73" s="288"/>
      <c r="AK73" s="280"/>
      <c r="AL73" s="280"/>
      <c r="AM73" s="280"/>
      <c r="AN73" s="272"/>
      <c r="AO73" s="272"/>
      <c r="AP73" s="272"/>
    </row>
    <row r="74" spans="1:42" ht="15.6" customHeight="1" x14ac:dyDescent="0.3">
      <c r="A74" s="1">
        <v>7</v>
      </c>
      <c r="B74" s="581" t="s">
        <v>399</v>
      </c>
      <c r="C74" s="413">
        <f t="shared" si="6"/>
        <v>18.375</v>
      </c>
      <c r="D74" s="637">
        <v>18</v>
      </c>
      <c r="E74" s="634">
        <v>18</v>
      </c>
      <c r="F74" s="673">
        <v>15</v>
      </c>
      <c r="G74" s="452">
        <v>26</v>
      </c>
      <c r="H74" s="452">
        <v>26</v>
      </c>
      <c r="I74" s="634">
        <v>18</v>
      </c>
      <c r="J74" s="456">
        <v>26</v>
      </c>
      <c r="K74" s="459"/>
      <c r="L74" s="455"/>
      <c r="M74" s="156"/>
      <c r="N74" s="276" t="s">
        <v>353</v>
      </c>
      <c r="O74" s="264"/>
      <c r="P74" s="264"/>
      <c r="Q74" s="264"/>
      <c r="R74" s="264"/>
      <c r="S74" s="264"/>
      <c r="T74" s="264"/>
      <c r="U74" s="264"/>
      <c r="V74" s="2">
        <v>21</v>
      </c>
      <c r="W74" s="582" t="s">
        <v>404</v>
      </c>
      <c r="X74" s="413">
        <f t="shared" si="7"/>
        <v>15</v>
      </c>
      <c r="Y74" s="520">
        <v>22</v>
      </c>
      <c r="Z74" s="521"/>
      <c r="AA74" s="459"/>
      <c r="AB74" s="459"/>
      <c r="AC74" s="671">
        <v>28</v>
      </c>
      <c r="AD74" s="521">
        <v>24</v>
      </c>
      <c r="AE74" s="631">
        <v>30</v>
      </c>
      <c r="AF74" s="459">
        <v>16</v>
      </c>
      <c r="AG74" s="459"/>
      <c r="AH74" s="156"/>
      <c r="AI74" s="263"/>
      <c r="AJ74" s="280"/>
      <c r="AK74" s="280"/>
      <c r="AL74" s="280"/>
      <c r="AM74" s="280"/>
      <c r="AN74" s="272"/>
      <c r="AO74" s="272"/>
      <c r="AP74" s="272"/>
    </row>
    <row r="75" spans="1:42" ht="15.6" customHeight="1" x14ac:dyDescent="0.3">
      <c r="A75" s="1">
        <v>8</v>
      </c>
      <c r="B75" s="407" t="s">
        <v>14</v>
      </c>
      <c r="C75" s="413">
        <f t="shared" si="6"/>
        <v>21.875</v>
      </c>
      <c r="D75" s="509">
        <v>35</v>
      </c>
      <c r="E75" s="459"/>
      <c r="F75" s="455">
        <v>35</v>
      </c>
      <c r="G75" s="455">
        <v>35</v>
      </c>
      <c r="H75" s="455"/>
      <c r="I75" s="459">
        <v>35</v>
      </c>
      <c r="J75" s="459">
        <v>35</v>
      </c>
      <c r="K75" s="459"/>
      <c r="L75" s="459"/>
      <c r="M75" s="156"/>
      <c r="N75" s="276"/>
      <c r="O75" s="264"/>
      <c r="P75" s="264"/>
      <c r="Q75" s="264"/>
      <c r="R75" s="264"/>
      <c r="S75" s="264"/>
      <c r="T75" s="264"/>
      <c r="U75" s="264"/>
      <c r="V75" s="2">
        <v>22</v>
      </c>
      <c r="W75" s="407" t="s">
        <v>30</v>
      </c>
      <c r="X75" s="413">
        <f t="shared" si="7"/>
        <v>20.625</v>
      </c>
      <c r="Y75" s="632">
        <v>18</v>
      </c>
      <c r="Z75" s="631">
        <v>18</v>
      </c>
      <c r="AA75" s="631">
        <v>18</v>
      </c>
      <c r="AB75" s="631">
        <v>18</v>
      </c>
      <c r="AC75" s="459">
        <v>28</v>
      </c>
      <c r="AD75" s="459">
        <v>21</v>
      </c>
      <c r="AE75" s="459">
        <v>26</v>
      </c>
      <c r="AF75" s="459">
        <v>18</v>
      </c>
      <c r="AG75" s="459"/>
      <c r="AH75" s="156"/>
      <c r="AI75" s="263" t="s">
        <v>353</v>
      </c>
      <c r="AJ75" s="280"/>
      <c r="AK75" s="280"/>
      <c r="AL75" s="280"/>
      <c r="AM75" s="280"/>
      <c r="AN75" s="272"/>
      <c r="AO75" s="272"/>
      <c r="AP75" s="272"/>
    </row>
    <row r="76" spans="1:42" ht="15.6" customHeight="1" x14ac:dyDescent="0.3">
      <c r="A76" s="1">
        <v>9</v>
      </c>
      <c r="B76" s="407" t="s">
        <v>51</v>
      </c>
      <c r="C76" s="413">
        <f t="shared" si="6"/>
        <v>16.375</v>
      </c>
      <c r="D76" s="509">
        <v>0</v>
      </c>
      <c r="E76" s="459">
        <v>21</v>
      </c>
      <c r="F76" s="510"/>
      <c r="G76" s="516">
        <v>30</v>
      </c>
      <c r="H76" s="455">
        <v>30</v>
      </c>
      <c r="I76" s="459">
        <v>28</v>
      </c>
      <c r="J76" s="631">
        <v>22</v>
      </c>
      <c r="K76" s="459"/>
      <c r="L76" s="455"/>
      <c r="M76" s="156"/>
      <c r="N76" s="276" t="s">
        <v>351</v>
      </c>
      <c r="O76" s="264"/>
      <c r="P76" s="264"/>
      <c r="Q76" s="264"/>
      <c r="R76" s="264"/>
      <c r="S76" s="264"/>
      <c r="T76" s="264"/>
      <c r="U76" s="264"/>
      <c r="V76" s="1">
        <v>23</v>
      </c>
      <c r="W76" s="407" t="s">
        <v>19</v>
      </c>
      <c r="X76" s="413">
        <f t="shared" si="7"/>
        <v>11.625</v>
      </c>
      <c r="Y76" s="632">
        <v>15</v>
      </c>
      <c r="Z76" s="459"/>
      <c r="AA76" s="459">
        <v>10</v>
      </c>
      <c r="AB76" s="459">
        <v>18</v>
      </c>
      <c r="AC76" s="459">
        <v>28</v>
      </c>
      <c r="AD76" s="459">
        <v>7</v>
      </c>
      <c r="AE76" s="569">
        <v>0</v>
      </c>
      <c r="AF76" s="459">
        <v>15</v>
      </c>
      <c r="AG76" s="459"/>
      <c r="AH76" s="156"/>
      <c r="AI76" s="263" t="s">
        <v>351</v>
      </c>
      <c r="AJ76" s="280"/>
      <c r="AK76" s="280"/>
      <c r="AL76" s="280"/>
      <c r="AM76" s="280"/>
      <c r="AN76" s="272"/>
      <c r="AO76" s="272"/>
      <c r="AP76" s="272"/>
    </row>
    <row r="77" spans="1:42" ht="15.6" customHeight="1" x14ac:dyDescent="0.3">
      <c r="A77" s="1">
        <v>10</v>
      </c>
      <c r="B77" s="581" t="s">
        <v>400</v>
      </c>
      <c r="C77" s="413">
        <f t="shared" si="6"/>
        <v>18.125</v>
      </c>
      <c r="D77" s="659">
        <v>18</v>
      </c>
      <c r="E77" s="631">
        <v>18</v>
      </c>
      <c r="F77" s="510">
        <v>9</v>
      </c>
      <c r="G77" s="660">
        <v>18</v>
      </c>
      <c r="H77" s="630">
        <v>18</v>
      </c>
      <c r="I77" s="636">
        <v>18</v>
      </c>
      <c r="J77" s="459">
        <v>28</v>
      </c>
      <c r="K77" s="662">
        <v>18</v>
      </c>
      <c r="L77" s="455"/>
      <c r="M77" s="335"/>
      <c r="N77" s="276" t="s">
        <v>353</v>
      </c>
      <c r="O77" s="264"/>
      <c r="P77" s="264"/>
      <c r="Q77" s="264"/>
      <c r="R77" s="264"/>
      <c r="S77" s="264"/>
      <c r="T77" s="264"/>
      <c r="U77" s="264"/>
      <c r="V77" s="2">
        <v>24</v>
      </c>
      <c r="W77" s="581" t="s">
        <v>410</v>
      </c>
      <c r="X77" s="413">
        <f t="shared" si="7"/>
        <v>0</v>
      </c>
      <c r="Y77" s="523">
        <v>0</v>
      </c>
      <c r="Z77" s="516">
        <v>0</v>
      </c>
      <c r="AA77" s="521">
        <v>0</v>
      </c>
      <c r="AB77" s="521">
        <v>0</v>
      </c>
      <c r="AC77" s="524">
        <v>0</v>
      </c>
      <c r="AD77" s="524">
        <v>0</v>
      </c>
      <c r="AE77" s="459">
        <v>0</v>
      </c>
      <c r="AF77" s="459">
        <v>0</v>
      </c>
      <c r="AG77" s="459"/>
      <c r="AH77" s="156"/>
      <c r="AI77" s="263" t="s">
        <v>351</v>
      </c>
      <c r="AJ77" s="280"/>
      <c r="AK77" s="280"/>
      <c r="AL77" s="280"/>
      <c r="AM77" s="280"/>
      <c r="AN77" s="272"/>
      <c r="AO77" s="272"/>
      <c r="AP77" s="272"/>
    </row>
    <row r="78" spans="1:42" ht="15.6" customHeight="1" x14ac:dyDescent="0.3">
      <c r="A78" s="1">
        <v>11</v>
      </c>
      <c r="B78" s="407" t="s">
        <v>25</v>
      </c>
      <c r="C78" s="413">
        <f t="shared" si="6"/>
        <v>17.625</v>
      </c>
      <c r="D78" s="512">
        <v>18</v>
      </c>
      <c r="E78" s="513">
        <v>30</v>
      </c>
      <c r="F78" s="455"/>
      <c r="G78" s="455">
        <v>29</v>
      </c>
      <c r="H78" s="455">
        <v>28</v>
      </c>
      <c r="I78" s="513">
        <v>18</v>
      </c>
      <c r="J78" s="459">
        <v>0</v>
      </c>
      <c r="K78" s="459">
        <v>18</v>
      </c>
      <c r="L78" s="459"/>
      <c r="M78" s="156"/>
      <c r="N78" s="276"/>
      <c r="O78" s="264"/>
      <c r="P78" s="264"/>
      <c r="Q78" s="264"/>
      <c r="R78" s="264"/>
      <c r="S78" s="264"/>
      <c r="T78" s="264"/>
      <c r="U78" s="264"/>
      <c r="V78" s="2">
        <v>25</v>
      </c>
      <c r="W78" s="407" t="s">
        <v>20</v>
      </c>
      <c r="X78" s="413">
        <f t="shared" si="7"/>
        <v>19.125</v>
      </c>
      <c r="Y78" s="525">
        <v>15</v>
      </c>
      <c r="Z78" s="459"/>
      <c r="AA78" s="459">
        <v>15</v>
      </c>
      <c r="AB78" s="459">
        <v>22</v>
      </c>
      <c r="AC78" s="459">
        <v>28</v>
      </c>
      <c r="AD78" s="459">
        <v>19</v>
      </c>
      <c r="AE78" s="459">
        <v>28</v>
      </c>
      <c r="AF78" s="459">
        <v>26</v>
      </c>
      <c r="AG78" s="459"/>
      <c r="AH78" s="156"/>
      <c r="AI78" s="263"/>
      <c r="AJ78" s="280"/>
      <c r="AK78" s="280"/>
      <c r="AL78" s="280"/>
      <c r="AM78" s="280"/>
      <c r="AN78" s="272"/>
      <c r="AO78" s="272"/>
      <c r="AP78" s="272"/>
    </row>
    <row r="79" spans="1:42" ht="15.6" customHeight="1" x14ac:dyDescent="0.3">
      <c r="A79" s="1">
        <v>12</v>
      </c>
      <c r="B79" s="581" t="s">
        <v>408</v>
      </c>
      <c r="C79" s="413">
        <f t="shared" si="6"/>
        <v>16.625</v>
      </c>
      <c r="D79" s="676">
        <v>18</v>
      </c>
      <c r="E79" s="459">
        <v>0</v>
      </c>
      <c r="F79" s="455">
        <v>18</v>
      </c>
      <c r="G79" s="630">
        <v>18</v>
      </c>
      <c r="H79" s="641">
        <v>18</v>
      </c>
      <c r="I79" s="459">
        <v>28</v>
      </c>
      <c r="J79" s="631">
        <v>15</v>
      </c>
      <c r="K79" s="459">
        <v>18</v>
      </c>
      <c r="L79" s="455"/>
      <c r="M79" s="156"/>
      <c r="N79" s="276" t="s">
        <v>351</v>
      </c>
      <c r="O79" s="264"/>
      <c r="P79" s="264"/>
      <c r="Q79" s="264"/>
      <c r="R79" s="264"/>
      <c r="S79" s="264"/>
      <c r="T79" s="264"/>
      <c r="U79" s="264"/>
      <c r="V79" s="1">
        <v>26</v>
      </c>
      <c r="W79" s="407" t="s">
        <v>31</v>
      </c>
      <c r="X79" s="413">
        <f t="shared" si="7"/>
        <v>22</v>
      </c>
      <c r="Y79" s="525">
        <v>35</v>
      </c>
      <c r="Z79" s="459">
        <v>31</v>
      </c>
      <c r="AA79" s="459">
        <v>16</v>
      </c>
      <c r="AB79" s="459">
        <v>30</v>
      </c>
      <c r="AC79" s="626">
        <v>18</v>
      </c>
      <c r="AD79" s="459"/>
      <c r="AE79" s="459">
        <v>28</v>
      </c>
      <c r="AF79" s="631">
        <v>18</v>
      </c>
      <c r="AG79" s="459"/>
      <c r="AH79" s="156"/>
      <c r="AI79" s="263"/>
      <c r="AJ79" s="261"/>
      <c r="AK79" s="261"/>
      <c r="AL79" s="280"/>
      <c r="AM79" s="280"/>
      <c r="AN79" s="272"/>
      <c r="AO79" s="272"/>
      <c r="AP79" s="272"/>
    </row>
    <row r="80" spans="1:42" ht="15.6" customHeight="1" thickBot="1" x14ac:dyDescent="0.35">
      <c r="A80" s="1">
        <v>13</v>
      </c>
      <c r="B80" s="581" t="s">
        <v>409</v>
      </c>
      <c r="C80" s="413">
        <f t="shared" si="6"/>
        <v>21.25</v>
      </c>
      <c r="D80" s="509">
        <v>35</v>
      </c>
      <c r="E80" s="459"/>
      <c r="F80" s="459">
        <v>31</v>
      </c>
      <c r="G80" s="459">
        <v>22</v>
      </c>
      <c r="H80" s="515">
        <v>28</v>
      </c>
      <c r="I80" s="459">
        <v>28</v>
      </c>
      <c r="J80" s="459">
        <v>26</v>
      </c>
      <c r="K80" s="459"/>
      <c r="L80" s="459"/>
      <c r="M80" s="156"/>
      <c r="N80" s="264" t="s">
        <v>353</v>
      </c>
      <c r="O80" s="264"/>
      <c r="P80" s="264"/>
      <c r="Q80" s="264"/>
      <c r="R80" s="264"/>
      <c r="S80" s="264"/>
      <c r="T80" s="264"/>
      <c r="U80" s="264"/>
      <c r="V80" s="2">
        <v>27</v>
      </c>
      <c r="W80" s="407" t="s">
        <v>21</v>
      </c>
      <c r="X80" s="413">
        <f t="shared" si="7"/>
        <v>1.25</v>
      </c>
      <c r="Y80" s="526"/>
      <c r="Z80" s="459"/>
      <c r="AA80" s="513"/>
      <c r="AB80" s="513"/>
      <c r="AC80" s="459"/>
      <c r="AD80" s="459"/>
      <c r="AE80" s="524">
        <v>10</v>
      </c>
      <c r="AF80" s="459">
        <v>0</v>
      </c>
      <c r="AG80" s="522"/>
      <c r="AH80" s="171"/>
      <c r="AI80" s="274" t="s">
        <v>351</v>
      </c>
      <c r="AJ80" s="272"/>
      <c r="AK80" s="272"/>
      <c r="AL80" s="272"/>
      <c r="AM80" s="272"/>
      <c r="AN80" s="272"/>
      <c r="AO80" s="272"/>
      <c r="AP80" s="272"/>
    </row>
    <row r="81" spans="1:42" ht="15.6" customHeight="1" x14ac:dyDescent="0.3">
      <c r="A81" s="1">
        <v>14</v>
      </c>
      <c r="B81" s="407" t="s">
        <v>16</v>
      </c>
      <c r="C81" s="413">
        <f t="shared" si="6"/>
        <v>35</v>
      </c>
      <c r="D81" s="509">
        <v>35</v>
      </c>
      <c r="E81" s="459">
        <v>35</v>
      </c>
      <c r="F81" s="459">
        <v>35</v>
      </c>
      <c r="G81" s="459">
        <v>35</v>
      </c>
      <c r="H81" s="459">
        <v>35</v>
      </c>
      <c r="I81" s="459">
        <v>35</v>
      </c>
      <c r="J81" s="459">
        <v>35</v>
      </c>
      <c r="K81" s="459">
        <v>35</v>
      </c>
      <c r="L81" s="459"/>
      <c r="M81" s="156"/>
      <c r="N81" s="264"/>
      <c r="O81" s="264"/>
      <c r="P81" s="264"/>
      <c r="Q81" s="264"/>
      <c r="R81" s="264"/>
      <c r="S81" s="264"/>
      <c r="T81" s="264"/>
      <c r="U81" s="264"/>
      <c r="V81" s="2">
        <v>28</v>
      </c>
      <c r="W81" s="410" t="s">
        <v>64</v>
      </c>
      <c r="X81" s="413">
        <f t="shared" si="7"/>
        <v>26.5</v>
      </c>
      <c r="Y81" s="527">
        <v>35</v>
      </c>
      <c r="Z81" s="528">
        <v>33</v>
      </c>
      <c r="AA81" s="528"/>
      <c r="AB81" s="528">
        <v>26</v>
      </c>
      <c r="AC81" s="528">
        <v>30</v>
      </c>
      <c r="AD81" s="528">
        <v>35</v>
      </c>
      <c r="AE81" s="529">
        <v>35</v>
      </c>
      <c r="AF81" s="528">
        <v>18</v>
      </c>
      <c r="AG81" s="530"/>
      <c r="AH81" s="360"/>
      <c r="AI81" s="292"/>
      <c r="AJ81" s="293"/>
      <c r="AK81" s="293"/>
      <c r="AL81" s="293"/>
      <c r="AM81" s="293"/>
      <c r="AN81" s="293"/>
      <c r="AO81" s="293"/>
      <c r="AP81" s="293"/>
    </row>
    <row r="82" spans="1:42" ht="15.6" customHeight="1" x14ac:dyDescent="0.3">
      <c r="B82" s="73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301">
        <v>29</v>
      </c>
      <c r="W82" s="411" t="s">
        <v>305</v>
      </c>
      <c r="X82" s="413">
        <f t="shared" si="7"/>
        <v>15.75</v>
      </c>
      <c r="Y82" s="531">
        <v>7</v>
      </c>
      <c r="Z82" s="522"/>
      <c r="AA82" s="671">
        <v>18</v>
      </c>
      <c r="AB82" s="522">
        <v>18</v>
      </c>
      <c r="AC82" s="522">
        <v>28</v>
      </c>
      <c r="AD82" s="522">
        <v>9</v>
      </c>
      <c r="AE82" s="522">
        <v>28</v>
      </c>
      <c r="AF82" s="522">
        <v>18</v>
      </c>
      <c r="AG82" s="522"/>
      <c r="AH82" s="171"/>
      <c r="AI82" s="82" t="s">
        <v>353</v>
      </c>
      <c r="AJ82" s="82"/>
      <c r="AK82" s="82"/>
      <c r="AL82" s="82"/>
      <c r="AM82" s="82"/>
      <c r="AN82" s="82"/>
      <c r="AO82" s="82"/>
      <c r="AP82" s="82"/>
    </row>
    <row r="83" spans="1:42" ht="21" x14ac:dyDescent="0.3">
      <c r="A83" s="757" t="s">
        <v>146</v>
      </c>
      <c r="B83" s="757"/>
      <c r="C83" s="757"/>
      <c r="D83" s="757"/>
      <c r="E83" s="757"/>
      <c r="F83" s="757"/>
      <c r="G83" s="757"/>
      <c r="H83" s="757"/>
      <c r="I83" s="757"/>
      <c r="J83" s="757"/>
      <c r="K83" s="757"/>
      <c r="L83" s="757"/>
      <c r="M83" s="757"/>
      <c r="N83" s="757"/>
      <c r="O83" s="757"/>
      <c r="P83" s="757"/>
      <c r="Q83" s="757"/>
      <c r="R83" s="757"/>
      <c r="S83" s="757"/>
      <c r="T83" s="757"/>
      <c r="U83" s="757"/>
      <c r="V83" s="757"/>
      <c r="W83" s="757"/>
      <c r="X83" s="757"/>
      <c r="Y83" s="757"/>
      <c r="Z83" s="757"/>
      <c r="AA83" s="757"/>
      <c r="AB83" s="757"/>
      <c r="AC83" s="757"/>
      <c r="AD83" s="757"/>
      <c r="AE83" s="757"/>
      <c r="AF83" s="757"/>
      <c r="AG83" s="757"/>
      <c r="AH83" s="757"/>
      <c r="AI83" s="757"/>
      <c r="AJ83" s="757"/>
      <c r="AK83" s="757"/>
      <c r="AL83" s="757"/>
      <c r="AM83" s="757"/>
      <c r="AN83" s="757"/>
      <c r="AO83" s="757"/>
      <c r="AP83" s="757"/>
    </row>
    <row r="84" spans="1:42" ht="18" x14ac:dyDescent="0.3">
      <c r="A84" s="758" t="s">
        <v>34</v>
      </c>
      <c r="B84" s="759"/>
      <c r="C84" s="760" t="s">
        <v>1</v>
      </c>
      <c r="D84" s="773" t="s">
        <v>56</v>
      </c>
      <c r="E84" s="773"/>
      <c r="F84" s="773"/>
      <c r="G84" s="773"/>
      <c r="H84" s="773"/>
      <c r="I84" s="773"/>
      <c r="J84" s="773"/>
      <c r="K84" s="773"/>
      <c r="L84" s="773"/>
      <c r="M84" s="773"/>
      <c r="N84" s="773"/>
      <c r="O84" s="773"/>
      <c r="P84" s="773"/>
      <c r="Q84" s="773"/>
      <c r="R84" s="773"/>
      <c r="S84" s="773"/>
      <c r="T84" s="773"/>
      <c r="U84" s="773"/>
      <c r="V84" s="762" t="s">
        <v>34</v>
      </c>
      <c r="W84" s="759"/>
      <c r="X84" s="760" t="s">
        <v>1</v>
      </c>
      <c r="Y84" s="773" t="s">
        <v>56</v>
      </c>
      <c r="Z84" s="773"/>
      <c r="AA84" s="773"/>
      <c r="AB84" s="773"/>
      <c r="AC84" s="773"/>
      <c r="AD84" s="773"/>
      <c r="AE84" s="773"/>
      <c r="AF84" s="773"/>
      <c r="AG84" s="773"/>
      <c r="AH84" s="773"/>
      <c r="AI84" s="773"/>
      <c r="AJ84" s="773"/>
      <c r="AK84" s="773"/>
      <c r="AL84" s="773"/>
      <c r="AM84" s="773"/>
      <c r="AN84" s="773"/>
      <c r="AO84" s="773"/>
      <c r="AP84" s="773"/>
    </row>
    <row r="85" spans="1:42" x14ac:dyDescent="0.3">
      <c r="A85" s="758"/>
      <c r="B85" s="759"/>
      <c r="C85" s="760"/>
      <c r="D85" s="446">
        <v>1</v>
      </c>
      <c r="E85" s="95">
        <v>2</v>
      </c>
      <c r="F85" s="95">
        <v>3</v>
      </c>
      <c r="G85" s="95">
        <v>4</v>
      </c>
      <c r="H85" s="95">
        <v>5</v>
      </c>
      <c r="I85" s="95">
        <v>6</v>
      </c>
      <c r="J85" s="95">
        <v>7</v>
      </c>
      <c r="K85" s="95">
        <v>8</v>
      </c>
      <c r="L85" s="95">
        <v>9</v>
      </c>
      <c r="M85" s="95">
        <v>10</v>
      </c>
      <c r="N85" s="95">
        <v>11</v>
      </c>
      <c r="O85" s="95">
        <v>12</v>
      </c>
      <c r="P85" s="95">
        <v>13</v>
      </c>
      <c r="Q85" s="95">
        <v>14</v>
      </c>
      <c r="R85" s="95">
        <v>15</v>
      </c>
      <c r="S85" s="95">
        <v>16</v>
      </c>
      <c r="T85" s="95">
        <v>17</v>
      </c>
      <c r="U85" s="95">
        <v>18</v>
      </c>
      <c r="V85" s="762"/>
      <c r="W85" s="759"/>
      <c r="X85" s="760"/>
      <c r="Y85" s="446">
        <v>1</v>
      </c>
      <c r="Z85" s="95">
        <v>2</v>
      </c>
      <c r="AA85" s="95">
        <v>3</v>
      </c>
      <c r="AB85" s="95">
        <v>4</v>
      </c>
      <c r="AC85" s="95">
        <v>5</v>
      </c>
      <c r="AD85" s="95">
        <v>6</v>
      </c>
      <c r="AE85" s="95">
        <v>7</v>
      </c>
      <c r="AF85" s="95">
        <v>8</v>
      </c>
      <c r="AG85" s="95">
        <v>9</v>
      </c>
      <c r="AH85" s="95">
        <v>10</v>
      </c>
      <c r="AI85" s="95">
        <v>11</v>
      </c>
      <c r="AJ85" s="72">
        <v>12</v>
      </c>
      <c r="AK85" s="72">
        <v>13</v>
      </c>
      <c r="AL85" s="72">
        <v>14</v>
      </c>
      <c r="AM85" s="72">
        <v>15</v>
      </c>
      <c r="AN85" s="72">
        <v>16</v>
      </c>
      <c r="AO85" s="72">
        <v>17</v>
      </c>
      <c r="AP85" s="72">
        <v>18</v>
      </c>
    </row>
    <row r="86" spans="1:42" ht="111.6" x14ac:dyDescent="0.3">
      <c r="A86" s="758"/>
      <c r="B86" s="759"/>
      <c r="C86" s="760"/>
      <c r="D86" s="651" t="s">
        <v>368</v>
      </c>
      <c r="E86" s="648" t="s">
        <v>369</v>
      </c>
      <c r="F86" s="653" t="s">
        <v>375</v>
      </c>
      <c r="G86" s="308"/>
      <c r="H86" s="568"/>
      <c r="I86" s="151"/>
      <c r="J86" s="96"/>
      <c r="K86" s="96"/>
      <c r="L86" s="96"/>
      <c r="M86" s="96"/>
      <c r="N86" s="96"/>
      <c r="O86" s="96"/>
      <c r="P86" s="96"/>
      <c r="Q86" s="75"/>
      <c r="R86" s="96"/>
      <c r="S86" s="96"/>
      <c r="T86" s="96"/>
      <c r="U86" s="96"/>
      <c r="V86" s="762"/>
      <c r="W86" s="759"/>
      <c r="X86" s="760"/>
      <c r="Y86" s="134" t="s">
        <v>368</v>
      </c>
      <c r="Z86" s="556" t="s">
        <v>369</v>
      </c>
      <c r="AA86" s="538" t="s">
        <v>375</v>
      </c>
      <c r="AB86" s="308"/>
      <c r="AC86" s="568"/>
      <c r="AD86" s="151"/>
      <c r="AE86" s="78"/>
      <c r="AF86" s="78"/>
      <c r="AG86" s="78"/>
      <c r="AH86" s="96"/>
      <c r="AI86" s="96"/>
      <c r="AJ86" s="96"/>
      <c r="AK86" s="96"/>
      <c r="AL86" s="75"/>
      <c r="AM86" s="96"/>
      <c r="AN86" s="96"/>
      <c r="AO86" s="96"/>
      <c r="AP86" s="96"/>
    </row>
    <row r="87" spans="1:42" ht="15.6" customHeight="1" x14ac:dyDescent="0.3">
      <c r="A87" s="1">
        <v>1</v>
      </c>
      <c r="B87" s="407" t="s">
        <v>10</v>
      </c>
      <c r="C87" s="413">
        <f>((D87+E87+F87)/3)</f>
        <v>23.333333333333332</v>
      </c>
      <c r="D87" s="614">
        <v>22</v>
      </c>
      <c r="E87" s="615">
        <v>18</v>
      </c>
      <c r="F87" s="615">
        <v>30</v>
      </c>
      <c r="G87" s="258"/>
      <c r="H87" s="257"/>
      <c r="I87" s="258"/>
      <c r="J87" s="269"/>
      <c r="K87" s="257"/>
      <c r="L87" s="257"/>
      <c r="M87" s="257"/>
      <c r="N87" s="275"/>
      <c r="O87" s="259"/>
      <c r="P87" s="259"/>
      <c r="Q87" s="259"/>
      <c r="R87" s="259"/>
      <c r="S87" s="259"/>
      <c r="T87" s="259"/>
      <c r="U87" s="259"/>
      <c r="V87" s="2">
        <v>15</v>
      </c>
      <c r="W87" s="407" t="s">
        <v>17</v>
      </c>
      <c r="X87" s="413">
        <f>((Y87+Z87+AA87)/3)</f>
        <v>11.666666666666666</v>
      </c>
      <c r="Y87" s="618"/>
      <c r="Z87" s="615"/>
      <c r="AA87" s="615">
        <v>35</v>
      </c>
      <c r="AB87" s="258"/>
      <c r="AC87" s="257"/>
      <c r="AD87" s="257"/>
      <c r="AE87" s="269"/>
      <c r="AF87" s="257"/>
      <c r="AG87" s="257"/>
      <c r="AH87" s="257"/>
      <c r="AI87" s="278"/>
      <c r="AJ87" s="257"/>
      <c r="AK87" s="257"/>
      <c r="AL87" s="279"/>
      <c r="AM87" s="279"/>
      <c r="AN87" s="270"/>
      <c r="AO87" s="270"/>
      <c r="AP87" s="270"/>
    </row>
    <row r="88" spans="1:42" ht="15.6" customHeight="1" x14ac:dyDescent="0.3">
      <c r="A88" s="1">
        <v>2</v>
      </c>
      <c r="B88" s="406" t="s">
        <v>22</v>
      </c>
      <c r="C88" s="413">
        <f t="shared" ref="C88:C100" si="8">((D88+E88+F88)/3)</f>
        <v>25</v>
      </c>
      <c r="D88" s="614">
        <v>22</v>
      </c>
      <c r="E88" s="616">
        <v>18</v>
      </c>
      <c r="F88" s="615">
        <v>35</v>
      </c>
      <c r="G88" s="257"/>
      <c r="H88" s="261"/>
      <c r="I88" s="262"/>
      <c r="J88" s="261"/>
      <c r="K88" s="261"/>
      <c r="L88" s="261"/>
      <c r="M88" s="261"/>
      <c r="N88" s="276"/>
      <c r="O88" s="264"/>
      <c r="P88" s="264"/>
      <c r="Q88" s="264"/>
      <c r="R88" s="264"/>
      <c r="S88" s="264"/>
      <c r="T88" s="264"/>
      <c r="U88" s="264"/>
      <c r="V88" s="2">
        <v>16</v>
      </c>
      <c r="W88" s="407" t="s">
        <v>27</v>
      </c>
      <c r="X88" s="413">
        <f t="shared" ref="X88:X101" si="9">((Y88+Z88+AA88)/3)</f>
        <v>19</v>
      </c>
      <c r="Y88" s="619">
        <v>0</v>
      </c>
      <c r="Z88" s="616">
        <v>22</v>
      </c>
      <c r="AA88" s="616">
        <v>35</v>
      </c>
      <c r="AB88" s="262"/>
      <c r="AC88" s="261"/>
      <c r="AD88" s="261"/>
      <c r="AE88" s="261"/>
      <c r="AF88" s="261"/>
      <c r="AG88" s="261"/>
      <c r="AH88" s="261"/>
      <c r="AI88" s="263"/>
      <c r="AJ88" s="261"/>
      <c r="AK88" s="280"/>
      <c r="AL88" s="280"/>
      <c r="AM88" s="280"/>
      <c r="AN88" s="272"/>
      <c r="AO88" s="272"/>
      <c r="AP88" s="272"/>
    </row>
    <row r="89" spans="1:42" ht="15.6" customHeight="1" x14ac:dyDescent="0.3">
      <c r="A89" s="1">
        <v>3</v>
      </c>
      <c r="B89" s="407" t="s">
        <v>12</v>
      </c>
      <c r="C89" s="413">
        <f t="shared" si="8"/>
        <v>33.333333333333336</v>
      </c>
      <c r="D89" s="642">
        <v>30</v>
      </c>
      <c r="E89" s="616">
        <v>35</v>
      </c>
      <c r="F89" s="615">
        <v>35</v>
      </c>
      <c r="G89" s="258"/>
      <c r="H89" s="261"/>
      <c r="I89" s="261"/>
      <c r="J89" s="261"/>
      <c r="K89" s="261"/>
      <c r="L89" s="257"/>
      <c r="M89" s="261"/>
      <c r="N89" s="276"/>
      <c r="O89" s="264"/>
      <c r="P89" s="264"/>
      <c r="Q89" s="264"/>
      <c r="R89" s="264"/>
      <c r="S89" s="264"/>
      <c r="T89" s="264"/>
      <c r="U89" s="264"/>
      <c r="V89" s="1">
        <v>17</v>
      </c>
      <c r="W89" s="407" t="s">
        <v>130</v>
      </c>
      <c r="X89" s="413">
        <f t="shared" si="9"/>
        <v>23.333333333333332</v>
      </c>
      <c r="Y89" s="619">
        <v>35</v>
      </c>
      <c r="Z89" s="616"/>
      <c r="AA89" s="616">
        <v>35</v>
      </c>
      <c r="AB89" s="261"/>
      <c r="AC89" s="261"/>
      <c r="AD89" s="261"/>
      <c r="AE89" s="261"/>
      <c r="AF89" s="261"/>
      <c r="AG89" s="261"/>
      <c r="AH89" s="261"/>
      <c r="AI89" s="263"/>
      <c r="AJ89" s="280"/>
      <c r="AK89" s="280"/>
      <c r="AL89" s="280"/>
      <c r="AM89" s="280"/>
      <c r="AN89" s="272"/>
      <c r="AO89" s="272"/>
      <c r="AP89" s="272"/>
    </row>
    <row r="90" spans="1:42" ht="15.6" customHeight="1" x14ac:dyDescent="0.3">
      <c r="A90" s="1">
        <v>4</v>
      </c>
      <c r="B90" s="406" t="s">
        <v>23</v>
      </c>
      <c r="C90" s="413">
        <f t="shared" si="8"/>
        <v>17.666666666666668</v>
      </c>
      <c r="D90" s="614">
        <v>35</v>
      </c>
      <c r="E90" s="616">
        <v>18</v>
      </c>
      <c r="F90" s="615"/>
      <c r="G90" s="258"/>
      <c r="H90" s="261"/>
      <c r="I90" s="261"/>
      <c r="J90" s="261"/>
      <c r="K90" s="261"/>
      <c r="L90" s="261"/>
      <c r="M90" s="265"/>
      <c r="N90" s="277"/>
      <c r="O90" s="265"/>
      <c r="P90" s="265"/>
      <c r="Q90" s="265"/>
      <c r="R90" s="265"/>
      <c r="S90" s="265"/>
      <c r="T90" s="265"/>
      <c r="U90" s="265"/>
      <c r="V90" s="2">
        <v>18</v>
      </c>
      <c r="W90" s="407" t="s">
        <v>28</v>
      </c>
      <c r="X90" s="413">
        <f t="shared" si="9"/>
        <v>35</v>
      </c>
      <c r="Y90" s="619">
        <v>35</v>
      </c>
      <c r="Z90" s="616">
        <v>35</v>
      </c>
      <c r="AA90" s="616">
        <v>35</v>
      </c>
      <c r="AB90" s="262"/>
      <c r="AC90" s="261"/>
      <c r="AD90" s="261"/>
      <c r="AE90" s="261"/>
      <c r="AF90" s="261"/>
      <c r="AG90" s="261"/>
      <c r="AH90" s="261"/>
      <c r="AI90" s="263"/>
      <c r="AJ90" s="261"/>
      <c r="AK90" s="261"/>
      <c r="AL90" s="280"/>
      <c r="AM90" s="280"/>
      <c r="AN90" s="272"/>
      <c r="AO90" s="272"/>
      <c r="AP90" s="272"/>
    </row>
    <row r="91" spans="1:42" ht="15.6" customHeight="1" x14ac:dyDescent="0.3">
      <c r="A91" s="1">
        <v>5</v>
      </c>
      <c r="B91" s="407" t="s">
        <v>13</v>
      </c>
      <c r="C91" s="413">
        <f t="shared" si="8"/>
        <v>21.666666666666668</v>
      </c>
      <c r="D91" s="614"/>
      <c r="E91" s="616">
        <v>30</v>
      </c>
      <c r="F91" s="615">
        <v>35</v>
      </c>
      <c r="G91" s="258"/>
      <c r="H91" s="261"/>
      <c r="I91" s="261"/>
      <c r="J91" s="261"/>
      <c r="K91" s="261"/>
      <c r="L91" s="257"/>
      <c r="M91" s="261"/>
      <c r="N91" s="276"/>
      <c r="O91" s="264"/>
      <c r="P91" s="264"/>
      <c r="Q91" s="264"/>
      <c r="R91" s="264"/>
      <c r="S91" s="264"/>
      <c r="T91" s="264"/>
      <c r="U91" s="264"/>
      <c r="V91" s="2">
        <v>19</v>
      </c>
      <c r="W91" s="408" t="s">
        <v>29</v>
      </c>
      <c r="X91" s="413">
        <f t="shared" si="9"/>
        <v>22</v>
      </c>
      <c r="Y91" s="619">
        <v>30</v>
      </c>
      <c r="Z91" s="627">
        <v>18</v>
      </c>
      <c r="AA91" s="627">
        <v>18</v>
      </c>
      <c r="AB91" s="262"/>
      <c r="AC91" s="261"/>
      <c r="AD91" s="262"/>
      <c r="AE91" s="261"/>
      <c r="AF91" s="261"/>
      <c r="AG91" s="261"/>
      <c r="AH91" s="261"/>
      <c r="AI91" s="263"/>
      <c r="AJ91" s="280"/>
      <c r="AK91" s="280"/>
      <c r="AL91" s="280"/>
      <c r="AM91" s="280"/>
      <c r="AN91" s="272"/>
      <c r="AO91" s="272"/>
      <c r="AP91" s="272"/>
    </row>
    <row r="92" spans="1:42" ht="15.6" customHeight="1" x14ac:dyDescent="0.3">
      <c r="A92" s="1">
        <v>6</v>
      </c>
      <c r="B92" s="407" t="s">
        <v>52</v>
      </c>
      <c r="C92" s="413">
        <f t="shared" si="8"/>
        <v>16</v>
      </c>
      <c r="D92" s="614">
        <v>30</v>
      </c>
      <c r="E92" s="627">
        <v>18</v>
      </c>
      <c r="F92" s="615"/>
      <c r="G92" s="258"/>
      <c r="H92" s="261"/>
      <c r="I92" s="261"/>
      <c r="J92" s="261"/>
      <c r="K92" s="261"/>
      <c r="L92" s="261"/>
      <c r="M92" s="261"/>
      <c r="N92" s="276"/>
      <c r="O92" s="264"/>
      <c r="P92" s="264"/>
      <c r="Q92" s="264"/>
      <c r="R92" s="264"/>
      <c r="S92" s="264"/>
      <c r="T92" s="264"/>
      <c r="U92" s="264"/>
      <c r="V92" s="1">
        <v>20</v>
      </c>
      <c r="W92" s="407" t="s">
        <v>18</v>
      </c>
      <c r="X92" s="413">
        <f t="shared" si="9"/>
        <v>33.333333333333336</v>
      </c>
      <c r="Y92" s="619">
        <v>30</v>
      </c>
      <c r="Z92" s="616">
        <v>35</v>
      </c>
      <c r="AA92" s="616">
        <v>35</v>
      </c>
      <c r="AB92" s="261"/>
      <c r="AC92" s="261"/>
      <c r="AD92" s="261"/>
      <c r="AE92" s="261"/>
      <c r="AF92" s="261"/>
      <c r="AG92" s="261"/>
      <c r="AH92" s="261"/>
      <c r="AI92" s="263"/>
      <c r="AJ92" s="280"/>
      <c r="AK92" s="280"/>
      <c r="AL92" s="280"/>
      <c r="AM92" s="280"/>
      <c r="AN92" s="272"/>
      <c r="AO92" s="272"/>
      <c r="AP92" s="272"/>
    </row>
    <row r="93" spans="1:42" ht="15.6" customHeight="1" x14ac:dyDescent="0.3">
      <c r="A93" s="1">
        <v>7</v>
      </c>
      <c r="B93" s="407" t="s">
        <v>24</v>
      </c>
      <c r="C93" s="413">
        <f t="shared" si="8"/>
        <v>18</v>
      </c>
      <c r="D93" s="642">
        <v>18</v>
      </c>
      <c r="E93" s="627">
        <v>18</v>
      </c>
      <c r="F93" s="629">
        <v>18</v>
      </c>
      <c r="G93" s="257"/>
      <c r="H93" s="261"/>
      <c r="I93" s="261"/>
      <c r="J93" s="261"/>
      <c r="K93" s="261"/>
      <c r="L93" s="257"/>
      <c r="M93" s="261"/>
      <c r="N93" s="276"/>
      <c r="O93" s="264"/>
      <c r="P93" s="264"/>
      <c r="Q93" s="264"/>
      <c r="R93" s="264"/>
      <c r="S93" s="264"/>
      <c r="T93" s="264"/>
      <c r="U93" s="264"/>
      <c r="V93" s="2">
        <v>21</v>
      </c>
      <c r="W93" s="418" t="s">
        <v>32</v>
      </c>
      <c r="X93" s="413">
        <f t="shared" si="9"/>
        <v>18</v>
      </c>
      <c r="Y93" s="633">
        <v>18</v>
      </c>
      <c r="Z93" s="627">
        <v>18</v>
      </c>
      <c r="AA93" s="627">
        <v>18</v>
      </c>
      <c r="AB93" s="262"/>
      <c r="AC93" s="261"/>
      <c r="AD93" s="261"/>
      <c r="AE93" s="261"/>
      <c r="AF93" s="261"/>
      <c r="AG93" s="261"/>
      <c r="AH93" s="261"/>
      <c r="AI93" s="263"/>
      <c r="AJ93" s="280"/>
      <c r="AK93" s="280"/>
      <c r="AL93" s="280"/>
      <c r="AM93" s="280"/>
      <c r="AN93" s="272"/>
      <c r="AO93" s="272"/>
      <c r="AP93" s="272"/>
    </row>
    <row r="94" spans="1:42" ht="15.6" customHeight="1" x14ac:dyDescent="0.3">
      <c r="A94" s="1">
        <v>8</v>
      </c>
      <c r="B94" s="407" t="s">
        <v>14</v>
      </c>
      <c r="C94" s="413">
        <f t="shared" si="8"/>
        <v>26.666666666666668</v>
      </c>
      <c r="D94" s="617">
        <v>35</v>
      </c>
      <c r="E94" s="616">
        <v>10</v>
      </c>
      <c r="F94" s="615">
        <v>35</v>
      </c>
      <c r="G94" s="257"/>
      <c r="H94" s="261"/>
      <c r="I94" s="266"/>
      <c r="J94" s="261"/>
      <c r="K94" s="261"/>
      <c r="L94" s="261"/>
      <c r="M94" s="261"/>
      <c r="N94" s="276"/>
      <c r="O94" s="264"/>
      <c r="P94" s="264"/>
      <c r="Q94" s="264"/>
      <c r="R94" s="264"/>
      <c r="S94" s="264"/>
      <c r="T94" s="264"/>
      <c r="U94" s="264"/>
      <c r="V94" s="2">
        <v>22</v>
      </c>
      <c r="W94" s="407" t="s">
        <v>30</v>
      </c>
      <c r="X94" s="413">
        <f t="shared" si="9"/>
        <v>29.333333333333332</v>
      </c>
      <c r="Y94" s="619">
        <v>35</v>
      </c>
      <c r="Z94" s="616">
        <v>18</v>
      </c>
      <c r="AA94" s="616">
        <v>35</v>
      </c>
      <c r="AB94" s="262"/>
      <c r="AC94" s="261"/>
      <c r="AD94" s="261"/>
      <c r="AE94" s="261"/>
      <c r="AF94" s="261"/>
      <c r="AG94" s="261"/>
      <c r="AH94" s="261"/>
      <c r="AI94" s="263"/>
      <c r="AJ94" s="280"/>
      <c r="AK94" s="280"/>
      <c r="AL94" s="280"/>
      <c r="AM94" s="280"/>
      <c r="AN94" s="272"/>
      <c r="AO94" s="272"/>
      <c r="AP94" s="272"/>
    </row>
    <row r="95" spans="1:42" ht="15.6" customHeight="1" x14ac:dyDescent="0.3">
      <c r="A95" s="1">
        <v>9</v>
      </c>
      <c r="B95" s="407" t="s">
        <v>51</v>
      </c>
      <c r="C95" s="413">
        <f t="shared" si="8"/>
        <v>29.333333333333332</v>
      </c>
      <c r="D95" s="617">
        <v>35</v>
      </c>
      <c r="E95" s="616">
        <v>18</v>
      </c>
      <c r="F95" s="615">
        <v>35</v>
      </c>
      <c r="G95" s="258"/>
      <c r="H95" s="261"/>
      <c r="I95" s="262"/>
      <c r="J95" s="261"/>
      <c r="K95" s="261"/>
      <c r="L95" s="257"/>
      <c r="M95" s="261"/>
      <c r="N95" s="276"/>
      <c r="O95" s="264"/>
      <c r="P95" s="264"/>
      <c r="Q95" s="264"/>
      <c r="R95" s="264"/>
      <c r="S95" s="264"/>
      <c r="T95" s="264"/>
      <c r="U95" s="264"/>
      <c r="V95" s="1">
        <v>23</v>
      </c>
      <c r="W95" s="407" t="s">
        <v>19</v>
      </c>
      <c r="X95" s="413">
        <f t="shared" si="9"/>
        <v>13.333333333333334</v>
      </c>
      <c r="Y95" s="619">
        <v>22</v>
      </c>
      <c r="Z95" s="627">
        <v>18</v>
      </c>
      <c r="AA95" s="616"/>
      <c r="AB95" s="262"/>
      <c r="AC95" s="261"/>
      <c r="AD95" s="261"/>
      <c r="AE95" s="261"/>
      <c r="AF95" s="261"/>
      <c r="AG95" s="261"/>
      <c r="AH95" s="261"/>
      <c r="AI95" s="263"/>
      <c r="AJ95" s="280"/>
      <c r="AK95" s="280"/>
      <c r="AL95" s="280"/>
      <c r="AM95" s="280"/>
      <c r="AN95" s="272"/>
      <c r="AO95" s="272"/>
      <c r="AP95" s="272"/>
    </row>
    <row r="96" spans="1:42" ht="15.6" customHeight="1" x14ac:dyDescent="0.3">
      <c r="A96" s="1">
        <v>10</v>
      </c>
      <c r="B96" s="407" t="s">
        <v>62</v>
      </c>
      <c r="C96" s="413">
        <f t="shared" si="8"/>
        <v>17.666666666666668</v>
      </c>
      <c r="D96" s="614"/>
      <c r="E96" s="616">
        <v>18</v>
      </c>
      <c r="F96" s="615">
        <v>35</v>
      </c>
      <c r="G96" s="258"/>
      <c r="H96" s="261"/>
      <c r="I96" s="262"/>
      <c r="J96" s="261"/>
      <c r="K96" s="261"/>
      <c r="L96" s="257"/>
      <c r="M96" s="261"/>
      <c r="N96" s="276"/>
      <c r="O96" s="264"/>
      <c r="P96" s="264"/>
      <c r="Q96" s="264"/>
      <c r="R96" s="264"/>
      <c r="S96" s="264"/>
      <c r="T96" s="264"/>
      <c r="U96" s="264"/>
      <c r="V96" s="2">
        <v>24</v>
      </c>
      <c r="W96" s="407" t="s">
        <v>33</v>
      </c>
      <c r="X96" s="413">
        <f t="shared" si="9"/>
        <v>0</v>
      </c>
      <c r="Y96" s="618"/>
      <c r="Z96" s="615"/>
      <c r="AA96" s="616"/>
      <c r="AB96" s="262"/>
      <c r="AC96" s="261"/>
      <c r="AD96" s="262"/>
      <c r="AE96" s="261"/>
      <c r="AF96" s="261"/>
      <c r="AG96" s="261"/>
      <c r="AH96" s="261"/>
      <c r="AI96" s="263"/>
      <c r="AJ96" s="280"/>
      <c r="AK96" s="280"/>
      <c r="AL96" s="280"/>
      <c r="AM96" s="280"/>
      <c r="AN96" s="272"/>
      <c r="AO96" s="272"/>
      <c r="AP96" s="272"/>
    </row>
    <row r="97" spans="1:42" ht="15.6" customHeight="1" x14ac:dyDescent="0.3">
      <c r="A97" s="1">
        <v>11</v>
      </c>
      <c r="B97" s="407" t="s">
        <v>25</v>
      </c>
      <c r="C97" s="413">
        <f t="shared" si="8"/>
        <v>16</v>
      </c>
      <c r="D97" s="614">
        <v>30</v>
      </c>
      <c r="E97" s="616">
        <v>18</v>
      </c>
      <c r="F97" s="615"/>
      <c r="G97" s="258"/>
      <c r="H97" s="261"/>
      <c r="I97" s="262"/>
      <c r="J97" s="261"/>
      <c r="K97" s="261"/>
      <c r="L97" s="261"/>
      <c r="M97" s="261"/>
      <c r="N97" s="276"/>
      <c r="O97" s="264"/>
      <c r="P97" s="264"/>
      <c r="Q97" s="264"/>
      <c r="R97" s="264"/>
      <c r="S97" s="264"/>
      <c r="T97" s="264"/>
      <c r="U97" s="264"/>
      <c r="V97" s="2">
        <v>25</v>
      </c>
      <c r="W97" s="407" t="s">
        <v>20</v>
      </c>
      <c r="X97" s="413">
        <f t="shared" si="9"/>
        <v>30</v>
      </c>
      <c r="Y97" s="620">
        <v>25</v>
      </c>
      <c r="Z97" s="616">
        <v>30</v>
      </c>
      <c r="AA97" s="616">
        <v>35</v>
      </c>
      <c r="AB97" s="262"/>
      <c r="AC97" s="261"/>
      <c r="AD97" s="261"/>
      <c r="AE97" s="261"/>
      <c r="AF97" s="261"/>
      <c r="AG97" s="261"/>
      <c r="AH97" s="261"/>
      <c r="AI97" s="263"/>
      <c r="AJ97" s="280"/>
      <c r="AK97" s="280"/>
      <c r="AL97" s="280"/>
      <c r="AM97" s="280"/>
      <c r="AN97" s="272"/>
      <c r="AO97" s="272"/>
      <c r="AP97" s="272"/>
    </row>
    <row r="98" spans="1:42" ht="15.6" customHeight="1" x14ac:dyDescent="0.3">
      <c r="A98" s="1">
        <v>12</v>
      </c>
      <c r="B98" s="407" t="s">
        <v>15</v>
      </c>
      <c r="C98" s="413">
        <f t="shared" si="8"/>
        <v>18</v>
      </c>
      <c r="D98" s="642">
        <v>18</v>
      </c>
      <c r="E98" s="627">
        <v>18</v>
      </c>
      <c r="F98" s="629">
        <v>18</v>
      </c>
      <c r="G98" s="258"/>
      <c r="H98" s="261"/>
      <c r="I98" s="261"/>
      <c r="J98" s="261"/>
      <c r="K98" s="261"/>
      <c r="L98" s="257"/>
      <c r="M98" s="261"/>
      <c r="N98" s="276"/>
      <c r="O98" s="264"/>
      <c r="P98" s="264"/>
      <c r="Q98" s="264"/>
      <c r="R98" s="264"/>
      <c r="S98" s="264"/>
      <c r="T98" s="264"/>
      <c r="U98" s="264"/>
      <c r="V98" s="1">
        <v>26</v>
      </c>
      <c r="W98" s="407" t="s">
        <v>31</v>
      </c>
      <c r="X98" s="413">
        <f t="shared" si="9"/>
        <v>15.333333333333334</v>
      </c>
      <c r="Y98" s="620">
        <v>28</v>
      </c>
      <c r="Z98" s="616">
        <v>18</v>
      </c>
      <c r="AA98" s="616"/>
      <c r="AB98" s="262"/>
      <c r="AC98" s="261"/>
      <c r="AD98" s="262"/>
      <c r="AE98" s="261"/>
      <c r="AF98" s="261"/>
      <c r="AG98" s="261"/>
      <c r="AH98" s="261"/>
      <c r="AI98" s="263"/>
      <c r="AJ98" s="261"/>
      <c r="AK98" s="261"/>
      <c r="AL98" s="280"/>
      <c r="AM98" s="280"/>
      <c r="AN98" s="272"/>
      <c r="AO98" s="272"/>
      <c r="AP98" s="272"/>
    </row>
    <row r="99" spans="1:42" ht="15.6" customHeight="1" thickBot="1" x14ac:dyDescent="0.35">
      <c r="A99" s="1">
        <v>13</v>
      </c>
      <c r="B99" s="407" t="s">
        <v>26</v>
      </c>
      <c r="C99" s="413">
        <f t="shared" si="8"/>
        <v>35</v>
      </c>
      <c r="D99" s="617">
        <v>35</v>
      </c>
      <c r="E99" s="616">
        <v>35</v>
      </c>
      <c r="F99" s="616">
        <v>35</v>
      </c>
      <c r="G99" s="262"/>
      <c r="H99" s="261"/>
      <c r="I99" s="262"/>
      <c r="J99" s="261"/>
      <c r="K99" s="261"/>
      <c r="L99" s="261"/>
      <c r="M99" s="261"/>
      <c r="N99" s="264"/>
      <c r="O99" s="264"/>
      <c r="P99" s="264"/>
      <c r="Q99" s="264"/>
      <c r="R99" s="264"/>
      <c r="S99" s="264"/>
      <c r="T99" s="264"/>
      <c r="U99" s="264"/>
      <c r="V99" s="2">
        <v>27</v>
      </c>
      <c r="W99" s="407" t="s">
        <v>21</v>
      </c>
      <c r="X99" s="413">
        <f t="shared" si="9"/>
        <v>11.666666666666666</v>
      </c>
      <c r="Y99" s="621"/>
      <c r="Z99" s="616"/>
      <c r="AA99" s="616">
        <v>35</v>
      </c>
      <c r="AB99" s="262"/>
      <c r="AC99" s="261"/>
      <c r="AD99" s="261"/>
      <c r="AE99" s="283"/>
      <c r="AF99" s="261"/>
      <c r="AG99" s="274"/>
      <c r="AH99" s="274"/>
      <c r="AI99" s="274"/>
      <c r="AJ99" s="272"/>
      <c r="AK99" s="272"/>
      <c r="AL99" s="272"/>
      <c r="AM99" s="272"/>
      <c r="AN99" s="272"/>
      <c r="AO99" s="272"/>
      <c r="AP99" s="272"/>
    </row>
    <row r="100" spans="1:42" ht="15.6" customHeight="1" x14ac:dyDescent="0.3">
      <c r="A100" s="1">
        <v>14</v>
      </c>
      <c r="B100" s="407" t="s">
        <v>16</v>
      </c>
      <c r="C100" s="413">
        <f t="shared" si="8"/>
        <v>35</v>
      </c>
      <c r="D100" s="617">
        <v>35</v>
      </c>
      <c r="E100" s="616">
        <v>35</v>
      </c>
      <c r="F100" s="616">
        <v>35</v>
      </c>
      <c r="G100" s="262"/>
      <c r="H100" s="261"/>
      <c r="I100" s="261"/>
      <c r="J100" s="261"/>
      <c r="K100" s="261"/>
      <c r="L100" s="261"/>
      <c r="M100" s="261"/>
      <c r="N100" s="264"/>
      <c r="O100" s="264"/>
      <c r="P100" s="264"/>
      <c r="Q100" s="264"/>
      <c r="R100" s="264"/>
      <c r="S100" s="264"/>
      <c r="T100" s="264"/>
      <c r="U100" s="264"/>
      <c r="V100" s="2">
        <v>28</v>
      </c>
      <c r="W100" s="410" t="s">
        <v>63</v>
      </c>
      <c r="X100" s="413">
        <f t="shared" si="9"/>
        <v>33.333333333333336</v>
      </c>
      <c r="Y100" s="622">
        <v>30</v>
      </c>
      <c r="Z100" s="623">
        <v>35</v>
      </c>
      <c r="AA100" s="623">
        <v>35</v>
      </c>
      <c r="AB100" s="294"/>
      <c r="AC100" s="291"/>
      <c r="AD100" s="291"/>
      <c r="AE100" s="295"/>
      <c r="AF100" s="291"/>
      <c r="AG100" s="292"/>
      <c r="AH100" s="292"/>
      <c r="AI100" s="292"/>
      <c r="AJ100" s="293"/>
      <c r="AK100" s="293"/>
      <c r="AL100" s="293"/>
      <c r="AM100" s="293"/>
      <c r="AN100" s="293"/>
      <c r="AO100" s="293"/>
      <c r="AP100" s="293"/>
    </row>
    <row r="101" spans="1:42" ht="20.399999999999999" customHeight="1" x14ac:dyDescent="0.3">
      <c r="B101" s="73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W101" s="421" t="s">
        <v>305</v>
      </c>
      <c r="X101" s="413">
        <f t="shared" si="9"/>
        <v>15.333333333333334</v>
      </c>
      <c r="Y101" s="624"/>
      <c r="Z101" s="684">
        <v>18</v>
      </c>
      <c r="AA101" s="625">
        <v>28</v>
      </c>
      <c r="AB101" s="534"/>
      <c r="AC101" s="274"/>
      <c r="AD101" s="534"/>
      <c r="AE101" s="534"/>
      <c r="AF101" s="534"/>
      <c r="AG101" s="534"/>
      <c r="AH101" s="534"/>
      <c r="AI101" s="534"/>
      <c r="AJ101" s="534"/>
      <c r="AK101" s="534"/>
      <c r="AL101" s="534"/>
      <c r="AM101" s="534"/>
      <c r="AN101" s="534"/>
      <c r="AO101" s="534"/>
      <c r="AP101" s="534"/>
    </row>
    <row r="102" spans="1:42" ht="21" x14ac:dyDescent="0.3">
      <c r="A102" s="757" t="s">
        <v>146</v>
      </c>
      <c r="B102" s="757"/>
      <c r="C102" s="757"/>
      <c r="D102" s="757"/>
      <c r="E102" s="757"/>
      <c r="F102" s="757"/>
      <c r="G102" s="757"/>
      <c r="H102" s="757"/>
      <c r="I102" s="757"/>
      <c r="J102" s="757"/>
      <c r="K102" s="757"/>
      <c r="L102" s="757"/>
      <c r="M102" s="757"/>
      <c r="N102" s="757"/>
      <c r="O102" s="757"/>
      <c r="P102" s="757"/>
      <c r="Q102" s="757"/>
      <c r="R102" s="757"/>
      <c r="S102" s="757"/>
      <c r="T102" s="757"/>
      <c r="U102" s="757"/>
      <c r="V102" s="757"/>
      <c r="W102" s="757"/>
      <c r="X102" s="757"/>
      <c r="Y102" s="757"/>
      <c r="Z102" s="757"/>
      <c r="AA102" s="757"/>
      <c r="AB102" s="757"/>
      <c r="AC102" s="757"/>
      <c r="AD102" s="757"/>
      <c r="AE102" s="757"/>
      <c r="AF102" s="757"/>
      <c r="AG102" s="757"/>
      <c r="AH102" s="757"/>
      <c r="AI102" s="757"/>
      <c r="AJ102" s="757"/>
      <c r="AK102" s="757"/>
      <c r="AL102" s="757"/>
      <c r="AM102" s="757"/>
      <c r="AN102" s="757"/>
      <c r="AO102" s="757"/>
      <c r="AP102" s="757"/>
    </row>
    <row r="103" spans="1:42" ht="18" x14ac:dyDescent="0.3">
      <c r="A103" s="758" t="s">
        <v>34</v>
      </c>
      <c r="B103" s="759"/>
      <c r="C103" s="760" t="s">
        <v>1</v>
      </c>
      <c r="D103" s="761" t="s">
        <v>57</v>
      </c>
      <c r="E103" s="761"/>
      <c r="F103" s="761"/>
      <c r="G103" s="761"/>
      <c r="H103" s="761"/>
      <c r="I103" s="761"/>
      <c r="J103" s="761"/>
      <c r="K103" s="761"/>
      <c r="L103" s="761"/>
      <c r="M103" s="761"/>
      <c r="N103" s="761"/>
      <c r="O103" s="761"/>
      <c r="P103" s="761"/>
      <c r="Q103" s="761"/>
      <c r="R103" s="761"/>
      <c r="S103" s="761"/>
      <c r="T103" s="761"/>
      <c r="U103" s="761"/>
      <c r="V103" s="762" t="s">
        <v>34</v>
      </c>
      <c r="W103" s="759"/>
      <c r="X103" s="760" t="s">
        <v>1</v>
      </c>
      <c r="Y103" s="761" t="s">
        <v>57</v>
      </c>
      <c r="Z103" s="761"/>
      <c r="AA103" s="761"/>
      <c r="AB103" s="761"/>
      <c r="AC103" s="761"/>
      <c r="AD103" s="761"/>
      <c r="AE103" s="761"/>
      <c r="AF103" s="761"/>
      <c r="AG103" s="761"/>
      <c r="AH103" s="761"/>
      <c r="AI103" s="761"/>
      <c r="AJ103" s="761"/>
      <c r="AK103" s="761"/>
      <c r="AL103" s="761"/>
      <c r="AM103" s="761"/>
      <c r="AN103" s="761"/>
      <c r="AO103" s="761"/>
      <c r="AP103" s="761"/>
    </row>
    <row r="104" spans="1:42" x14ac:dyDescent="0.3">
      <c r="A104" s="758"/>
      <c r="B104" s="759"/>
      <c r="C104" s="760"/>
      <c r="D104" s="446">
        <v>1</v>
      </c>
      <c r="E104" s="95">
        <v>2</v>
      </c>
      <c r="F104" s="95">
        <v>3</v>
      </c>
      <c r="G104" s="95">
        <v>4</v>
      </c>
      <c r="H104" s="95">
        <v>5</v>
      </c>
      <c r="I104" s="95">
        <v>6</v>
      </c>
      <c r="J104" s="95">
        <v>7</v>
      </c>
      <c r="K104" s="95">
        <v>8</v>
      </c>
      <c r="L104" s="95">
        <v>9</v>
      </c>
      <c r="M104" s="95">
        <v>10</v>
      </c>
      <c r="N104" s="95">
        <v>11</v>
      </c>
      <c r="O104" s="95">
        <v>12</v>
      </c>
      <c r="P104" s="95">
        <v>13</v>
      </c>
      <c r="Q104" s="95">
        <v>14</v>
      </c>
      <c r="R104" s="95">
        <v>15</v>
      </c>
      <c r="S104" s="95">
        <v>16</v>
      </c>
      <c r="T104" s="95">
        <v>17</v>
      </c>
      <c r="U104" s="95">
        <v>18</v>
      </c>
      <c r="V104" s="762"/>
      <c r="W104" s="759"/>
      <c r="X104" s="760"/>
      <c r="Y104" s="446">
        <v>1</v>
      </c>
      <c r="Z104" s="95">
        <v>2</v>
      </c>
      <c r="AA104" s="95">
        <v>3</v>
      </c>
      <c r="AB104" s="95">
        <v>4</v>
      </c>
      <c r="AC104" s="95">
        <v>5</v>
      </c>
      <c r="AD104" s="95">
        <v>6</v>
      </c>
      <c r="AE104" s="95">
        <v>7</v>
      </c>
      <c r="AF104" s="95">
        <v>8</v>
      </c>
      <c r="AG104" s="95">
        <v>9</v>
      </c>
      <c r="AH104" s="95">
        <v>10</v>
      </c>
      <c r="AI104" s="95">
        <v>11</v>
      </c>
      <c r="AJ104" s="72">
        <v>12</v>
      </c>
      <c r="AK104" s="72">
        <v>13</v>
      </c>
      <c r="AL104" s="72">
        <v>14</v>
      </c>
      <c r="AM104" s="72">
        <v>15</v>
      </c>
      <c r="AN104" s="72">
        <v>16</v>
      </c>
      <c r="AO104" s="72">
        <v>17</v>
      </c>
      <c r="AP104" s="72">
        <v>18</v>
      </c>
    </row>
    <row r="105" spans="1:42" x14ac:dyDescent="0.3">
      <c r="A105" s="758"/>
      <c r="B105" s="759"/>
      <c r="C105" s="760"/>
      <c r="D105" s="763" t="s">
        <v>3</v>
      </c>
      <c r="E105" s="764"/>
      <c r="F105" s="764"/>
      <c r="G105" s="764"/>
      <c r="H105" s="764"/>
      <c r="I105" s="764"/>
      <c r="J105" s="764"/>
      <c r="K105" s="764"/>
      <c r="L105" s="764"/>
      <c r="M105" s="764"/>
      <c r="N105" s="764"/>
      <c r="O105" s="764"/>
      <c r="P105" s="764"/>
      <c r="Q105" s="764"/>
      <c r="R105" s="765"/>
      <c r="S105" s="74"/>
      <c r="T105" s="76"/>
      <c r="U105" s="76"/>
      <c r="V105" s="762"/>
      <c r="W105" s="759"/>
      <c r="X105" s="760"/>
      <c r="Y105" s="766" t="s">
        <v>3</v>
      </c>
      <c r="Z105" s="766"/>
      <c r="AA105" s="766"/>
      <c r="AB105" s="766"/>
      <c r="AC105" s="766"/>
      <c r="AD105" s="766"/>
      <c r="AE105" s="766"/>
      <c r="AF105" s="766"/>
      <c r="AG105" s="766"/>
      <c r="AH105" s="766"/>
      <c r="AI105" s="766"/>
      <c r="AJ105" s="766"/>
      <c r="AK105" s="766"/>
      <c r="AL105" s="766"/>
      <c r="AM105" s="766"/>
      <c r="AN105" s="77"/>
      <c r="AO105" s="77"/>
      <c r="AP105" s="77"/>
    </row>
    <row r="106" spans="1:42" x14ac:dyDescent="0.3">
      <c r="A106" s="758"/>
      <c r="B106" s="759"/>
      <c r="C106" s="760"/>
      <c r="D106" s="84"/>
      <c r="E106" s="85"/>
      <c r="F106" s="86"/>
      <c r="G106" s="85"/>
      <c r="H106" s="85"/>
      <c r="I106" s="85"/>
      <c r="J106" s="85"/>
      <c r="K106" s="87"/>
      <c r="L106" s="87"/>
      <c r="M106" s="85"/>
      <c r="N106" s="85"/>
      <c r="O106" s="71"/>
      <c r="P106" s="71"/>
      <c r="Q106" s="71"/>
      <c r="R106" s="71"/>
      <c r="S106" s="71"/>
      <c r="T106" s="71"/>
      <c r="U106" s="71"/>
      <c r="V106" s="762"/>
      <c r="W106" s="759"/>
      <c r="X106" s="760"/>
      <c r="Y106" s="88"/>
      <c r="Z106" s="92"/>
      <c r="AA106" s="86"/>
      <c r="AB106" s="86"/>
      <c r="AC106" s="92"/>
      <c r="AD106" s="92"/>
      <c r="AE106" s="89"/>
      <c r="AF106" s="86"/>
      <c r="AG106" s="86"/>
      <c r="AH106" s="92"/>
      <c r="AI106" s="90"/>
      <c r="AJ106" s="91"/>
      <c r="AK106" s="91"/>
      <c r="AL106" s="91"/>
      <c r="AM106" s="91"/>
      <c r="AN106" s="91"/>
      <c r="AO106" s="91"/>
      <c r="AP106" s="91"/>
    </row>
    <row r="107" spans="1:42" ht="125.4" x14ac:dyDescent="0.3">
      <c r="A107" s="758"/>
      <c r="B107" s="759"/>
      <c r="C107" s="760"/>
      <c r="D107" s="654" t="s">
        <v>365</v>
      </c>
      <c r="E107" s="655" t="s">
        <v>366</v>
      </c>
      <c r="F107" s="651" t="s">
        <v>368</v>
      </c>
      <c r="G107" s="651" t="s">
        <v>388</v>
      </c>
      <c r="H107" s="652" t="s">
        <v>392</v>
      </c>
      <c r="I107" s="650" t="s">
        <v>394</v>
      </c>
      <c r="J107" s="649" t="s">
        <v>395</v>
      </c>
      <c r="K107" s="571" t="s">
        <v>396</v>
      </c>
      <c r="L107" s="96"/>
      <c r="M107" s="96"/>
      <c r="N107" s="96"/>
      <c r="O107" s="96"/>
      <c r="P107" s="96"/>
      <c r="Q107" s="75"/>
      <c r="R107" s="96"/>
      <c r="S107" s="96"/>
      <c r="T107" s="96"/>
      <c r="U107" s="96"/>
      <c r="V107" s="762"/>
      <c r="W107" s="759"/>
      <c r="X107" s="760"/>
      <c r="Y107" s="686" t="s">
        <v>365</v>
      </c>
      <c r="Z107" s="307" t="s">
        <v>366</v>
      </c>
      <c r="AA107" s="308" t="s">
        <v>368</v>
      </c>
      <c r="AB107" s="308" t="s">
        <v>388</v>
      </c>
      <c r="AC107" s="300" t="s">
        <v>392</v>
      </c>
      <c r="AD107" s="308" t="s">
        <v>394</v>
      </c>
      <c r="AE107" s="568" t="s">
        <v>395</v>
      </c>
      <c r="AF107" s="571" t="s">
        <v>396</v>
      </c>
      <c r="AG107" s="78"/>
      <c r="AH107" s="96"/>
      <c r="AI107" s="96"/>
      <c r="AJ107" s="96"/>
      <c r="AK107" s="96"/>
      <c r="AL107" s="75"/>
      <c r="AM107" s="96"/>
      <c r="AN107" s="96"/>
      <c r="AO107" s="96"/>
      <c r="AP107" s="96"/>
    </row>
    <row r="108" spans="1:42" ht="15.6" x14ac:dyDescent="0.3">
      <c r="A108" s="1">
        <v>1</v>
      </c>
      <c r="B108" s="405" t="s">
        <v>284</v>
      </c>
      <c r="C108" s="413">
        <f>((D108+E108+F108+G108+H108+I108+J108+K108)/8)</f>
        <v>26.25</v>
      </c>
      <c r="D108" s="614">
        <v>10</v>
      </c>
      <c r="E108" s="258">
        <v>18</v>
      </c>
      <c r="F108" s="257">
        <v>22</v>
      </c>
      <c r="G108" s="260">
        <v>35</v>
      </c>
      <c r="H108" s="257">
        <v>30</v>
      </c>
      <c r="I108" s="258">
        <v>30</v>
      </c>
      <c r="J108" s="511">
        <v>30</v>
      </c>
      <c r="K108" s="572">
        <v>35</v>
      </c>
      <c r="L108" s="257"/>
      <c r="M108" s="257"/>
      <c r="N108" s="275"/>
      <c r="O108" s="259"/>
      <c r="P108" s="259"/>
      <c r="Q108" s="259"/>
      <c r="R108" s="259"/>
      <c r="S108" s="259"/>
      <c r="T108" s="259"/>
      <c r="U108" s="259"/>
      <c r="V108" s="2">
        <v>15</v>
      </c>
      <c r="W108" s="405" t="s">
        <v>287</v>
      </c>
      <c r="X108" s="413">
        <f>((Y108+Z108+AA108+AB108+AC108+AD108+AE108+AF108)/8)</f>
        <v>24.125</v>
      </c>
      <c r="Y108" s="281">
        <v>30</v>
      </c>
      <c r="Z108" s="257">
        <v>30</v>
      </c>
      <c r="AA108" s="614">
        <v>10</v>
      </c>
      <c r="AB108" s="268">
        <v>30</v>
      </c>
      <c r="AC108" s="257">
        <v>30</v>
      </c>
      <c r="AD108" s="258"/>
      <c r="AE108" s="511">
        <v>28</v>
      </c>
      <c r="AF108" s="572">
        <v>35</v>
      </c>
      <c r="AG108" s="257"/>
      <c r="AH108" s="257"/>
      <c r="AI108" s="278"/>
      <c r="AJ108" s="257"/>
      <c r="AK108" s="257"/>
      <c r="AL108" s="279"/>
      <c r="AM108" s="279"/>
      <c r="AN108" s="270"/>
      <c r="AO108" s="270"/>
      <c r="AP108" s="270"/>
    </row>
    <row r="109" spans="1:42" ht="15.6" x14ac:dyDescent="0.3">
      <c r="A109" s="1">
        <v>2</v>
      </c>
      <c r="B109" s="593" t="s">
        <v>418</v>
      </c>
      <c r="C109" s="413">
        <f t="shared" ref="C109:C121" si="10">((D109+E109+F109+G109+H109+I109+J109+K109)/8)</f>
        <v>25.25</v>
      </c>
      <c r="D109" s="614">
        <v>18</v>
      </c>
      <c r="E109" s="261">
        <v>35</v>
      </c>
      <c r="F109" s="257">
        <v>0</v>
      </c>
      <c r="G109" s="260">
        <v>18</v>
      </c>
      <c r="H109" s="257">
        <v>33</v>
      </c>
      <c r="I109" s="262">
        <v>33</v>
      </c>
      <c r="J109" s="459">
        <v>30</v>
      </c>
      <c r="K109" s="573">
        <v>35</v>
      </c>
      <c r="L109" s="261"/>
      <c r="M109" s="261"/>
      <c r="N109" s="276"/>
      <c r="O109" s="264"/>
      <c r="P109" s="264"/>
      <c r="Q109" s="264"/>
      <c r="R109" s="264"/>
      <c r="S109" s="264"/>
      <c r="T109" s="264"/>
      <c r="U109" s="264"/>
      <c r="V109" s="2">
        <v>16</v>
      </c>
      <c r="W109" s="405" t="s">
        <v>288</v>
      </c>
      <c r="X109" s="413">
        <f t="shared" ref="X109:X122" si="11">((Y109+Z109+AA109+AB109+AC109+AD109+AE109+AF109)/8)</f>
        <v>15.125</v>
      </c>
      <c r="Y109" s="614">
        <v>10</v>
      </c>
      <c r="Z109" s="262"/>
      <c r="AA109" s="261">
        <v>0</v>
      </c>
      <c r="AB109" s="271">
        <v>28</v>
      </c>
      <c r="AC109" s="261">
        <v>33</v>
      </c>
      <c r="AD109" s="261">
        <v>28</v>
      </c>
      <c r="AE109" s="459">
        <v>22</v>
      </c>
      <c r="AF109" s="573">
        <v>0</v>
      </c>
      <c r="AG109" s="261"/>
      <c r="AH109" s="261"/>
      <c r="AI109" s="263"/>
      <c r="AJ109" s="261"/>
      <c r="AK109" s="280"/>
      <c r="AL109" s="280"/>
      <c r="AM109" s="280"/>
      <c r="AN109" s="272"/>
      <c r="AO109" s="272"/>
      <c r="AP109" s="272"/>
    </row>
    <row r="110" spans="1:42" ht="15.6" x14ac:dyDescent="0.3">
      <c r="A110" s="1">
        <v>3</v>
      </c>
      <c r="B110" s="405" t="s">
        <v>420</v>
      </c>
      <c r="C110" s="413">
        <f t="shared" si="10"/>
        <v>32</v>
      </c>
      <c r="D110" s="260">
        <v>35</v>
      </c>
      <c r="E110" s="261">
        <v>35</v>
      </c>
      <c r="F110" s="257">
        <v>26</v>
      </c>
      <c r="G110" s="260">
        <v>30</v>
      </c>
      <c r="H110" s="257">
        <v>30</v>
      </c>
      <c r="I110" s="261">
        <v>35</v>
      </c>
      <c r="J110" s="459">
        <v>30</v>
      </c>
      <c r="K110" s="573">
        <v>35</v>
      </c>
      <c r="L110" s="257"/>
      <c r="M110" s="261"/>
      <c r="N110" s="276"/>
      <c r="O110" s="264"/>
      <c r="P110" s="264"/>
      <c r="Q110" s="264"/>
      <c r="R110" s="264"/>
      <c r="S110" s="264"/>
      <c r="T110" s="264"/>
      <c r="U110" s="264"/>
      <c r="V110" s="1">
        <v>17</v>
      </c>
      <c r="W110" s="407" t="s">
        <v>130</v>
      </c>
      <c r="X110" s="413">
        <f t="shared" si="11"/>
        <v>29.375</v>
      </c>
      <c r="Y110" s="271">
        <v>35</v>
      </c>
      <c r="Z110" s="261">
        <v>35</v>
      </c>
      <c r="AA110" s="261">
        <v>35</v>
      </c>
      <c r="AB110" s="271">
        <v>35</v>
      </c>
      <c r="AC110" s="261">
        <v>30</v>
      </c>
      <c r="AD110" s="261">
        <v>35</v>
      </c>
      <c r="AE110" s="459">
        <v>30</v>
      </c>
      <c r="AF110" s="573">
        <v>0</v>
      </c>
      <c r="AG110" s="261"/>
      <c r="AH110" s="261"/>
      <c r="AI110" s="263"/>
      <c r="AJ110" s="280"/>
      <c r="AK110" s="280"/>
      <c r="AL110" s="280"/>
      <c r="AM110" s="280"/>
      <c r="AN110" s="272"/>
      <c r="AO110" s="272"/>
      <c r="AP110" s="272"/>
    </row>
    <row r="111" spans="1:42" ht="15.6" x14ac:dyDescent="0.3">
      <c r="A111" s="1">
        <v>4</v>
      </c>
      <c r="B111" s="593" t="s">
        <v>416</v>
      </c>
      <c r="C111" s="413">
        <f t="shared" si="10"/>
        <v>32</v>
      </c>
      <c r="D111" s="260">
        <v>35</v>
      </c>
      <c r="E111" s="274">
        <v>35</v>
      </c>
      <c r="F111" s="257">
        <v>35</v>
      </c>
      <c r="G111" s="260">
        <v>26</v>
      </c>
      <c r="H111" s="257">
        <v>30</v>
      </c>
      <c r="I111" s="261">
        <v>30</v>
      </c>
      <c r="J111" s="459">
        <v>30</v>
      </c>
      <c r="K111" s="573">
        <v>35</v>
      </c>
      <c r="L111" s="261"/>
      <c r="M111" s="265"/>
      <c r="N111" s="277"/>
      <c r="O111" s="265"/>
      <c r="P111" s="265"/>
      <c r="Q111" s="265"/>
      <c r="R111" s="265"/>
      <c r="S111" s="265"/>
      <c r="T111" s="265"/>
      <c r="U111" s="265"/>
      <c r="V111" s="2">
        <v>18</v>
      </c>
      <c r="W111" s="405" t="s">
        <v>423</v>
      </c>
      <c r="X111" s="413">
        <f t="shared" si="11"/>
        <v>35</v>
      </c>
      <c r="Y111" s="271">
        <v>35</v>
      </c>
      <c r="Z111" s="261">
        <v>35</v>
      </c>
      <c r="AA111" s="261">
        <v>35</v>
      </c>
      <c r="AB111" s="271">
        <v>35</v>
      </c>
      <c r="AC111" s="261">
        <v>35</v>
      </c>
      <c r="AD111" s="261">
        <v>35</v>
      </c>
      <c r="AE111" s="459">
        <v>35</v>
      </c>
      <c r="AF111" s="573">
        <v>35</v>
      </c>
      <c r="AG111" s="261"/>
      <c r="AH111" s="261"/>
      <c r="AI111" s="263"/>
      <c r="AJ111" s="261"/>
      <c r="AK111" s="261"/>
      <c r="AL111" s="280"/>
      <c r="AM111" s="280"/>
      <c r="AN111" s="272"/>
      <c r="AO111" s="272"/>
      <c r="AP111" s="272"/>
    </row>
    <row r="112" spans="1:42" ht="15.6" x14ac:dyDescent="0.3">
      <c r="A112" s="1">
        <v>5</v>
      </c>
      <c r="B112" s="405" t="s">
        <v>292</v>
      </c>
      <c r="C112" s="413">
        <f t="shared" si="10"/>
        <v>15.125</v>
      </c>
      <c r="D112" s="614">
        <v>10</v>
      </c>
      <c r="E112" s="261">
        <v>35</v>
      </c>
      <c r="F112" s="257"/>
      <c r="G112" s="260">
        <v>20</v>
      </c>
      <c r="H112" s="257">
        <v>28</v>
      </c>
      <c r="I112" s="261"/>
      <c r="J112" s="459">
        <v>28</v>
      </c>
      <c r="K112" s="573"/>
      <c r="L112" s="257"/>
      <c r="M112" s="261"/>
      <c r="N112" s="276"/>
      <c r="O112" s="264"/>
      <c r="P112" s="264"/>
      <c r="Q112" s="264"/>
      <c r="R112" s="264"/>
      <c r="S112" s="264"/>
      <c r="T112" s="264"/>
      <c r="U112" s="264"/>
      <c r="V112" s="2">
        <v>19</v>
      </c>
      <c r="W112" s="593" t="s">
        <v>289</v>
      </c>
      <c r="X112" s="413">
        <f t="shared" si="11"/>
        <v>16.875</v>
      </c>
      <c r="Y112" s="271"/>
      <c r="Z112" s="261">
        <v>30</v>
      </c>
      <c r="AA112" s="262"/>
      <c r="AB112" s="271">
        <v>22</v>
      </c>
      <c r="AC112" s="262">
        <v>32</v>
      </c>
      <c r="AD112" s="261">
        <v>26</v>
      </c>
      <c r="AE112" s="459">
        <v>25</v>
      </c>
      <c r="AF112" s="573">
        <v>0</v>
      </c>
      <c r="AG112" s="261"/>
      <c r="AH112" s="261"/>
      <c r="AI112" s="263"/>
      <c r="AJ112" s="280"/>
      <c r="AK112" s="280"/>
      <c r="AL112" s="280"/>
      <c r="AM112" s="280"/>
      <c r="AN112" s="272"/>
      <c r="AO112" s="272"/>
      <c r="AP112" s="272"/>
    </row>
    <row r="113" spans="1:42" ht="15.6" x14ac:dyDescent="0.3">
      <c r="A113" s="1">
        <v>6</v>
      </c>
      <c r="B113" s="405" t="s">
        <v>295</v>
      </c>
      <c r="C113" s="413">
        <f t="shared" si="10"/>
        <v>15</v>
      </c>
      <c r="D113" s="260"/>
      <c r="E113" s="261">
        <v>30</v>
      </c>
      <c r="F113" s="257">
        <v>30</v>
      </c>
      <c r="G113" s="260"/>
      <c r="H113" s="257"/>
      <c r="I113" s="669">
        <v>30</v>
      </c>
      <c r="J113" s="631">
        <v>30</v>
      </c>
      <c r="K113" s="573"/>
      <c r="L113" s="261"/>
      <c r="M113" s="261"/>
      <c r="N113" s="276"/>
      <c r="O113" s="264"/>
      <c r="P113" s="264"/>
      <c r="Q113" s="264"/>
      <c r="R113" s="264"/>
      <c r="S113" s="264"/>
      <c r="T113" s="264"/>
      <c r="U113" s="264"/>
      <c r="V113" s="1">
        <v>20</v>
      </c>
      <c r="W113" s="405" t="s">
        <v>415</v>
      </c>
      <c r="X113" s="413">
        <f t="shared" si="11"/>
        <v>27.125</v>
      </c>
      <c r="Y113" s="271">
        <v>30</v>
      </c>
      <c r="Z113" s="261">
        <v>30</v>
      </c>
      <c r="AA113" s="261">
        <v>30</v>
      </c>
      <c r="AB113" s="271">
        <v>32</v>
      </c>
      <c r="AC113" s="261">
        <v>35</v>
      </c>
      <c r="AD113" s="261">
        <v>25</v>
      </c>
      <c r="AE113" s="459">
        <v>35</v>
      </c>
      <c r="AF113" s="573">
        <v>0</v>
      </c>
      <c r="AG113" s="261"/>
      <c r="AH113" s="261"/>
      <c r="AI113" s="263"/>
      <c r="AJ113" s="280"/>
      <c r="AK113" s="280"/>
      <c r="AL113" s="280"/>
      <c r="AM113" s="280"/>
      <c r="AN113" s="272"/>
      <c r="AO113" s="272"/>
      <c r="AP113" s="272"/>
    </row>
    <row r="114" spans="1:42" ht="15.6" x14ac:dyDescent="0.3">
      <c r="A114" s="1">
        <v>7</v>
      </c>
      <c r="B114" s="405" t="s">
        <v>285</v>
      </c>
      <c r="C114" s="413">
        <f t="shared" si="10"/>
        <v>3.25</v>
      </c>
      <c r="D114" s="260"/>
      <c r="E114" s="262"/>
      <c r="F114" s="258"/>
      <c r="G114" s="256"/>
      <c r="H114" s="258"/>
      <c r="I114" s="262"/>
      <c r="J114" s="456">
        <v>26</v>
      </c>
      <c r="K114" s="573">
        <v>0</v>
      </c>
      <c r="L114" s="257"/>
      <c r="M114" s="261"/>
      <c r="N114" s="276"/>
      <c r="O114" s="264"/>
      <c r="P114" s="264"/>
      <c r="Q114" s="264"/>
      <c r="R114" s="264"/>
      <c r="S114" s="264"/>
      <c r="T114" s="264"/>
      <c r="U114" s="264"/>
      <c r="V114" s="2">
        <v>21</v>
      </c>
      <c r="W114" s="409" t="s">
        <v>290</v>
      </c>
      <c r="X114" s="413">
        <f t="shared" si="11"/>
        <v>13.5</v>
      </c>
      <c r="Y114" s="672">
        <v>18</v>
      </c>
      <c r="Z114" s="669">
        <v>18</v>
      </c>
      <c r="AA114" s="669">
        <v>18</v>
      </c>
      <c r="AB114" s="633">
        <v>18</v>
      </c>
      <c r="AC114" s="627">
        <v>18</v>
      </c>
      <c r="AD114" s="669">
        <v>18</v>
      </c>
      <c r="AE114" s="459">
        <v>0</v>
      </c>
      <c r="AF114" s="573">
        <v>0</v>
      </c>
      <c r="AG114" s="261"/>
      <c r="AH114" s="261"/>
      <c r="AI114" s="263"/>
      <c r="AJ114" s="280"/>
      <c r="AK114" s="280"/>
      <c r="AL114" s="280"/>
      <c r="AM114" s="280"/>
      <c r="AN114" s="272"/>
      <c r="AO114" s="272"/>
      <c r="AP114" s="272"/>
    </row>
    <row r="115" spans="1:42" ht="15.6" x14ac:dyDescent="0.3">
      <c r="A115" s="1">
        <v>8</v>
      </c>
      <c r="B115" s="405" t="s">
        <v>425</v>
      </c>
      <c r="C115" s="413">
        <f t="shared" si="10"/>
        <v>30</v>
      </c>
      <c r="D115" s="267">
        <v>35</v>
      </c>
      <c r="E115" s="262">
        <v>35</v>
      </c>
      <c r="F115" s="257">
        <v>35</v>
      </c>
      <c r="G115" s="267">
        <v>35</v>
      </c>
      <c r="H115" s="257">
        <v>30</v>
      </c>
      <c r="I115" s="261"/>
      <c r="J115" s="459">
        <v>35</v>
      </c>
      <c r="K115" s="573">
        <v>35</v>
      </c>
      <c r="L115" s="261"/>
      <c r="M115" s="261"/>
      <c r="N115" s="276"/>
      <c r="O115" s="264"/>
      <c r="P115" s="264"/>
      <c r="Q115" s="264"/>
      <c r="R115" s="264"/>
      <c r="S115" s="264"/>
      <c r="T115" s="264"/>
      <c r="U115" s="264"/>
      <c r="V115" s="2">
        <v>22</v>
      </c>
      <c r="W115" s="405" t="s">
        <v>417</v>
      </c>
      <c r="X115" s="413">
        <f t="shared" si="11"/>
        <v>14.5</v>
      </c>
      <c r="Y115" s="271">
        <v>18</v>
      </c>
      <c r="Z115" s="261">
        <v>18</v>
      </c>
      <c r="AA115" s="616">
        <v>10</v>
      </c>
      <c r="AB115" s="633">
        <v>18</v>
      </c>
      <c r="AC115" s="262">
        <v>26</v>
      </c>
      <c r="AD115" s="261"/>
      <c r="AE115" s="459">
        <v>26</v>
      </c>
      <c r="AF115" s="573">
        <v>0</v>
      </c>
      <c r="AG115" s="261"/>
      <c r="AH115" s="261"/>
      <c r="AI115" s="263"/>
      <c r="AJ115" s="280"/>
      <c r="AK115" s="280"/>
      <c r="AL115" s="280"/>
      <c r="AM115" s="280"/>
      <c r="AN115" s="272"/>
      <c r="AO115" s="272"/>
      <c r="AP115" s="272"/>
    </row>
    <row r="116" spans="1:42" ht="18" x14ac:dyDescent="0.3">
      <c r="A116" s="1">
        <v>9</v>
      </c>
      <c r="B116" s="405" t="s">
        <v>426</v>
      </c>
      <c r="C116" s="413">
        <f t="shared" si="10"/>
        <v>23.25</v>
      </c>
      <c r="D116" s="267">
        <v>18</v>
      </c>
      <c r="E116" s="262">
        <v>18</v>
      </c>
      <c r="F116" s="257">
        <v>35</v>
      </c>
      <c r="G116" s="267">
        <v>28</v>
      </c>
      <c r="H116" s="258">
        <v>30</v>
      </c>
      <c r="I116" s="262"/>
      <c r="J116" s="631">
        <v>22</v>
      </c>
      <c r="K116" s="573">
        <v>35</v>
      </c>
      <c r="L116" s="257"/>
      <c r="M116" s="261"/>
      <c r="N116" s="276"/>
      <c r="O116" s="264"/>
      <c r="P116" s="264"/>
      <c r="Q116" s="264"/>
      <c r="R116" s="264"/>
      <c r="S116" s="264"/>
      <c r="T116" s="264"/>
      <c r="U116" s="264"/>
      <c r="V116" s="1">
        <v>23</v>
      </c>
      <c r="W116" s="405" t="s">
        <v>419</v>
      </c>
      <c r="X116" s="413">
        <f t="shared" si="11"/>
        <v>12.75</v>
      </c>
      <c r="Y116" s="271">
        <v>35</v>
      </c>
      <c r="Z116" s="261"/>
      <c r="AA116" s="261"/>
      <c r="AB116" s="271">
        <v>12</v>
      </c>
      <c r="AC116" s="261">
        <v>25</v>
      </c>
      <c r="AD116" s="262">
        <v>30</v>
      </c>
      <c r="AE116" s="569">
        <v>0</v>
      </c>
      <c r="AF116" s="573"/>
      <c r="AG116" s="261"/>
      <c r="AH116" s="261"/>
      <c r="AI116" s="263"/>
      <c r="AJ116" s="280"/>
      <c r="AK116" s="280"/>
      <c r="AL116" s="280"/>
      <c r="AM116" s="280"/>
      <c r="AN116" s="272"/>
      <c r="AO116" s="272"/>
      <c r="AP116" s="272"/>
    </row>
    <row r="117" spans="1:42" ht="15.6" x14ac:dyDescent="0.3">
      <c r="A117" s="1">
        <v>10</v>
      </c>
      <c r="B117" s="405" t="s">
        <v>286</v>
      </c>
      <c r="C117" s="413">
        <f t="shared" si="10"/>
        <v>18.125</v>
      </c>
      <c r="D117" s="642">
        <v>18</v>
      </c>
      <c r="E117" s="627">
        <v>18</v>
      </c>
      <c r="F117" s="629">
        <v>18</v>
      </c>
      <c r="G117" s="260">
        <v>10</v>
      </c>
      <c r="H117" s="629">
        <v>18</v>
      </c>
      <c r="I117" s="261"/>
      <c r="J117" s="459">
        <v>28</v>
      </c>
      <c r="K117" s="573">
        <v>35</v>
      </c>
      <c r="L117" s="257"/>
      <c r="M117" s="261"/>
      <c r="N117" s="276"/>
      <c r="O117" s="264"/>
      <c r="P117" s="264"/>
      <c r="Q117" s="264"/>
      <c r="R117" s="264"/>
      <c r="S117" s="264"/>
      <c r="T117" s="264"/>
      <c r="U117" s="264"/>
      <c r="V117" s="2">
        <v>24</v>
      </c>
      <c r="W117" s="407" t="s">
        <v>33</v>
      </c>
      <c r="X117" s="413">
        <f t="shared" si="11"/>
        <v>0</v>
      </c>
      <c r="Y117" s="281"/>
      <c r="Z117" s="258"/>
      <c r="AA117" s="261"/>
      <c r="AB117" s="281"/>
      <c r="AC117" s="262"/>
      <c r="AD117" s="262"/>
      <c r="AE117" s="459">
        <v>0</v>
      </c>
      <c r="AF117" s="573"/>
      <c r="AG117" s="261"/>
      <c r="AH117" s="261"/>
      <c r="AI117" s="263"/>
      <c r="AJ117" s="280"/>
      <c r="AK117" s="280"/>
      <c r="AL117" s="280"/>
      <c r="AM117" s="280"/>
      <c r="AN117" s="272"/>
      <c r="AO117" s="272"/>
      <c r="AP117" s="272"/>
    </row>
    <row r="118" spans="1:42" ht="15.6" x14ac:dyDescent="0.3">
      <c r="A118" s="1">
        <v>11</v>
      </c>
      <c r="B118" s="405" t="s">
        <v>424</v>
      </c>
      <c r="C118" s="413">
        <f t="shared" si="10"/>
        <v>11.125</v>
      </c>
      <c r="D118" s="260"/>
      <c r="E118" s="262"/>
      <c r="F118" s="257">
        <v>30</v>
      </c>
      <c r="G118" s="260">
        <v>29</v>
      </c>
      <c r="H118" s="258">
        <v>30</v>
      </c>
      <c r="I118" s="261"/>
      <c r="J118" s="459">
        <v>0</v>
      </c>
      <c r="K118" s="573">
        <v>0</v>
      </c>
      <c r="L118" s="261"/>
      <c r="M118" s="261"/>
      <c r="N118" s="276"/>
      <c r="O118" s="264"/>
      <c r="P118" s="264"/>
      <c r="Q118" s="264"/>
      <c r="R118" s="264"/>
      <c r="S118" s="264"/>
      <c r="T118" s="264"/>
      <c r="U118" s="264"/>
      <c r="V118" s="2">
        <v>25</v>
      </c>
      <c r="W118" s="405" t="s">
        <v>413</v>
      </c>
      <c r="X118" s="413">
        <f t="shared" si="11"/>
        <v>22.375</v>
      </c>
      <c r="Y118" s="273">
        <v>33</v>
      </c>
      <c r="Z118" s="261">
        <v>33</v>
      </c>
      <c r="AA118" s="261">
        <v>25</v>
      </c>
      <c r="AB118" s="620">
        <v>32</v>
      </c>
      <c r="AC118" s="262">
        <v>28</v>
      </c>
      <c r="AD118" s="262"/>
      <c r="AE118" s="459">
        <v>28</v>
      </c>
      <c r="AF118" s="573">
        <v>0</v>
      </c>
      <c r="AG118" s="261"/>
      <c r="AH118" s="261"/>
      <c r="AI118" s="263"/>
      <c r="AJ118" s="280"/>
      <c r="AK118" s="280"/>
      <c r="AL118" s="280"/>
      <c r="AM118" s="280"/>
      <c r="AN118" s="272"/>
      <c r="AO118" s="272"/>
      <c r="AP118" s="272"/>
    </row>
    <row r="119" spans="1:42" ht="15.6" x14ac:dyDescent="0.3">
      <c r="A119" s="1">
        <v>12</v>
      </c>
      <c r="B119" s="407" t="s">
        <v>15</v>
      </c>
      <c r="C119" s="413">
        <f t="shared" si="10"/>
        <v>21.5</v>
      </c>
      <c r="D119" s="642">
        <v>35</v>
      </c>
      <c r="E119" s="658">
        <v>18</v>
      </c>
      <c r="F119" s="258">
        <v>0</v>
      </c>
      <c r="G119" s="674">
        <v>18</v>
      </c>
      <c r="H119" s="675">
        <v>18</v>
      </c>
      <c r="I119" s="262">
        <v>30</v>
      </c>
      <c r="J119" s="631">
        <v>18</v>
      </c>
      <c r="K119" s="573">
        <v>35</v>
      </c>
      <c r="L119" s="257"/>
      <c r="M119" s="261"/>
      <c r="N119" s="276"/>
      <c r="O119" s="264"/>
      <c r="P119" s="264"/>
      <c r="Q119" s="264"/>
      <c r="R119" s="264"/>
      <c r="S119" s="264"/>
      <c r="T119" s="264"/>
      <c r="U119" s="264"/>
      <c r="V119" s="1">
        <v>26</v>
      </c>
      <c r="W119" s="405" t="s">
        <v>291</v>
      </c>
      <c r="X119" s="413">
        <f t="shared" si="11"/>
        <v>23.75</v>
      </c>
      <c r="Y119" s="273">
        <v>22</v>
      </c>
      <c r="Z119" s="261">
        <v>22</v>
      </c>
      <c r="AA119" s="261">
        <v>28</v>
      </c>
      <c r="AB119" s="273">
        <v>22</v>
      </c>
      <c r="AC119" s="627">
        <v>15</v>
      </c>
      <c r="AD119" s="261">
        <v>18</v>
      </c>
      <c r="AE119" s="459">
        <v>28</v>
      </c>
      <c r="AF119" s="573">
        <v>35</v>
      </c>
      <c r="AG119" s="261"/>
      <c r="AH119" s="261"/>
      <c r="AI119" s="263"/>
      <c r="AJ119" s="261"/>
      <c r="AK119" s="261"/>
      <c r="AL119" s="280"/>
      <c r="AM119" s="280"/>
      <c r="AN119" s="272"/>
      <c r="AO119" s="272"/>
      <c r="AP119" s="272"/>
    </row>
    <row r="120" spans="1:42" ht="16.2" thickBot="1" x14ac:dyDescent="0.35">
      <c r="A120" s="1">
        <v>13</v>
      </c>
      <c r="B120" s="405" t="s">
        <v>296</v>
      </c>
      <c r="C120" s="413">
        <f t="shared" si="10"/>
        <v>24.25</v>
      </c>
      <c r="D120" s="267">
        <v>35</v>
      </c>
      <c r="E120" s="261">
        <v>35</v>
      </c>
      <c r="F120" s="261">
        <v>35</v>
      </c>
      <c r="G120" s="262">
        <v>15</v>
      </c>
      <c r="H120" s="262">
        <v>20</v>
      </c>
      <c r="I120" s="261">
        <v>28</v>
      </c>
      <c r="J120" s="459">
        <v>26</v>
      </c>
      <c r="K120" s="573"/>
      <c r="L120" s="261"/>
      <c r="M120" s="261"/>
      <c r="N120" s="264"/>
      <c r="O120" s="264"/>
      <c r="P120" s="264"/>
      <c r="Q120" s="264"/>
      <c r="R120" s="264"/>
      <c r="S120" s="264"/>
      <c r="T120" s="264"/>
      <c r="U120" s="264"/>
      <c r="V120" s="2">
        <v>27</v>
      </c>
      <c r="W120" s="405" t="s">
        <v>412</v>
      </c>
      <c r="X120" s="413">
        <f t="shared" si="11"/>
        <v>4.75</v>
      </c>
      <c r="Y120" s="532"/>
      <c r="Z120" s="261"/>
      <c r="AA120" s="261"/>
      <c r="AB120" s="282"/>
      <c r="AC120" s="262"/>
      <c r="AD120" s="262"/>
      <c r="AE120" s="524">
        <v>10</v>
      </c>
      <c r="AF120" s="573">
        <v>28</v>
      </c>
      <c r="AG120" s="274"/>
      <c r="AH120" s="274"/>
      <c r="AI120" s="274"/>
      <c r="AJ120" s="272"/>
      <c r="AK120" s="272"/>
      <c r="AL120" s="272"/>
      <c r="AM120" s="272"/>
      <c r="AN120" s="272"/>
      <c r="AO120" s="272"/>
      <c r="AP120" s="272"/>
    </row>
    <row r="121" spans="1:42" ht="15.6" x14ac:dyDescent="0.3">
      <c r="A121" s="1">
        <v>14</v>
      </c>
      <c r="B121" s="405" t="s">
        <v>414</v>
      </c>
      <c r="C121" s="413">
        <f t="shared" si="10"/>
        <v>35</v>
      </c>
      <c r="D121" s="267">
        <v>35</v>
      </c>
      <c r="E121" s="261">
        <v>35</v>
      </c>
      <c r="F121" s="261">
        <v>35</v>
      </c>
      <c r="G121" s="261">
        <v>35</v>
      </c>
      <c r="H121" s="261">
        <v>35</v>
      </c>
      <c r="I121" s="261">
        <v>35</v>
      </c>
      <c r="J121" s="459">
        <v>35</v>
      </c>
      <c r="K121" s="573">
        <v>35</v>
      </c>
      <c r="L121" s="261"/>
      <c r="M121" s="261"/>
      <c r="N121" s="264"/>
      <c r="O121" s="264"/>
      <c r="P121" s="264"/>
      <c r="Q121" s="264"/>
      <c r="R121" s="264"/>
      <c r="S121" s="264"/>
      <c r="T121" s="264"/>
      <c r="U121" s="264"/>
      <c r="V121" s="2">
        <v>28</v>
      </c>
      <c r="W121" s="595" t="s">
        <v>422</v>
      </c>
      <c r="X121" s="413">
        <f t="shared" si="11"/>
        <v>29.5</v>
      </c>
      <c r="Y121" s="507">
        <v>35</v>
      </c>
      <c r="Z121" s="291">
        <v>35</v>
      </c>
      <c r="AA121" s="291">
        <v>33</v>
      </c>
      <c r="AB121" s="628">
        <v>30</v>
      </c>
      <c r="AC121" s="291">
        <v>33</v>
      </c>
      <c r="AD121" s="294"/>
      <c r="AE121" s="529">
        <v>35</v>
      </c>
      <c r="AF121" s="573">
        <v>35</v>
      </c>
      <c r="AG121" s="292"/>
      <c r="AH121" s="292"/>
      <c r="AI121" s="292"/>
      <c r="AJ121" s="293"/>
      <c r="AK121" s="293"/>
      <c r="AL121" s="293"/>
      <c r="AM121" s="293"/>
      <c r="AN121" s="293"/>
      <c r="AO121" s="293"/>
      <c r="AP121" s="293"/>
    </row>
    <row r="122" spans="1:42" ht="15.6" customHeight="1" x14ac:dyDescent="0.3">
      <c r="W122" s="594" t="s">
        <v>421</v>
      </c>
      <c r="X122" s="413">
        <f t="shared" si="11"/>
        <v>13.875</v>
      </c>
      <c r="Y122" s="533">
        <v>35</v>
      </c>
      <c r="Z122" s="534"/>
      <c r="AA122" s="534"/>
      <c r="AB122" s="534">
        <v>22</v>
      </c>
      <c r="AC122" s="534">
        <v>26</v>
      </c>
      <c r="AD122" s="534"/>
      <c r="AE122" s="522">
        <v>28</v>
      </c>
      <c r="AF122" s="534"/>
      <c r="AG122" s="534"/>
      <c r="AH122" s="534"/>
      <c r="AI122" s="534"/>
      <c r="AJ122" s="534"/>
      <c r="AK122" s="534"/>
      <c r="AL122" s="534"/>
      <c r="AM122" s="534"/>
      <c r="AN122" s="534"/>
      <c r="AO122" s="534"/>
      <c r="AP122" s="534"/>
    </row>
  </sheetData>
  <protectedRanges>
    <protectedRange sqref="D53:F53" name="Rango2_3_1"/>
  </protectedRanges>
  <mergeCells count="52">
    <mergeCell ref="A102:AP102"/>
    <mergeCell ref="A103:B107"/>
    <mergeCell ref="C103:C107"/>
    <mergeCell ref="D103:U103"/>
    <mergeCell ref="V103:W107"/>
    <mergeCell ref="X103:X107"/>
    <mergeCell ref="Y103:AP103"/>
    <mergeCell ref="D105:R105"/>
    <mergeCell ref="Y105:AM105"/>
    <mergeCell ref="A83:AP83"/>
    <mergeCell ref="A84:B86"/>
    <mergeCell ref="C84:C86"/>
    <mergeCell ref="D84:U84"/>
    <mergeCell ref="V84:W86"/>
    <mergeCell ref="X84:X86"/>
    <mergeCell ref="Y84:AP84"/>
    <mergeCell ref="A63:AP63"/>
    <mergeCell ref="A64:B67"/>
    <mergeCell ref="C64:C67"/>
    <mergeCell ref="D64:U64"/>
    <mergeCell ref="V64:W67"/>
    <mergeCell ref="X64:X67"/>
    <mergeCell ref="Y64:AP64"/>
    <mergeCell ref="D66:R66"/>
    <mergeCell ref="Y66:AM66"/>
    <mergeCell ref="A42:AP42"/>
    <mergeCell ref="A43:B46"/>
    <mergeCell ref="C43:C46"/>
    <mergeCell ref="D43:U43"/>
    <mergeCell ref="V43:W46"/>
    <mergeCell ref="X43:X46"/>
    <mergeCell ref="Y43:AP43"/>
    <mergeCell ref="D45:R45"/>
    <mergeCell ref="Y45:AM45"/>
    <mergeCell ref="A21:AP21"/>
    <mergeCell ref="A22:B25"/>
    <mergeCell ref="C22:C25"/>
    <mergeCell ref="D22:U22"/>
    <mergeCell ref="V22:W25"/>
    <mergeCell ref="X22:X25"/>
    <mergeCell ref="Y22:AP22"/>
    <mergeCell ref="D24:R24"/>
    <mergeCell ref="Y24:AM24"/>
    <mergeCell ref="A1:AP1"/>
    <mergeCell ref="A2:B5"/>
    <mergeCell ref="C2:C5"/>
    <mergeCell ref="D2:U2"/>
    <mergeCell ref="V2:W5"/>
    <mergeCell ref="X2:X5"/>
    <mergeCell ref="Y2:AP2"/>
    <mergeCell ref="D4:R4"/>
    <mergeCell ref="Y4:AM4"/>
  </mergeCells>
  <dataValidations count="1">
    <dataValidation type="whole" allowBlank="1" showInputMessage="1" showErrorMessage="1" sqref="D53:F53" xr:uid="{00000000-0002-0000-0B00-000000000000}">
      <formula1>1</formula1>
      <formula2>35</formula2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315"/>
  <sheetViews>
    <sheetView topLeftCell="A240" workbookViewId="0">
      <selection activeCell="H308" sqref="H308"/>
    </sheetView>
  </sheetViews>
  <sheetFormatPr baseColWidth="10" defaultRowHeight="14.4" x14ac:dyDescent="0.3"/>
  <cols>
    <col min="1" max="1" width="4.21875" customWidth="1"/>
    <col min="2" max="2" width="33.109375" customWidth="1"/>
    <col min="3" max="3" width="10.21875" customWidth="1"/>
    <col min="4" max="4" width="8.33203125" customWidth="1"/>
    <col min="5" max="5" width="8.77734375" customWidth="1"/>
    <col min="6" max="6" width="16.21875" customWidth="1"/>
    <col min="7" max="7" width="15.77734375" customWidth="1"/>
    <col min="8" max="8" width="23.5546875" customWidth="1"/>
    <col min="9" max="9" width="7.21875" customWidth="1"/>
    <col min="10" max="10" width="8.5546875" customWidth="1"/>
    <col min="11" max="11" width="9.44140625" customWidth="1"/>
    <col min="12" max="12" width="17.33203125" customWidth="1"/>
    <col min="14" max="14" width="4.44140625" customWidth="1"/>
    <col min="15" max="15" width="23.6640625" customWidth="1"/>
    <col min="16" max="16" width="8.44140625" customWidth="1"/>
    <col min="17" max="17" width="9" customWidth="1"/>
  </cols>
  <sheetData>
    <row r="1" spans="1:13" ht="18" x14ac:dyDescent="0.35">
      <c r="A1" s="850" t="s">
        <v>165</v>
      </c>
      <c r="B1" s="850"/>
      <c r="C1" s="850"/>
      <c r="D1" s="850"/>
      <c r="E1" s="850"/>
      <c r="F1" s="850"/>
      <c r="G1" s="849"/>
      <c r="H1" s="849"/>
      <c r="I1" s="849"/>
      <c r="J1" s="849"/>
      <c r="K1" s="849"/>
      <c r="L1" s="849"/>
    </row>
    <row r="2" spans="1:13" ht="18.600000000000001" thickBot="1" x14ac:dyDescent="0.4">
      <c r="A2" s="850" t="s">
        <v>166</v>
      </c>
      <c r="B2" s="850"/>
      <c r="C2" s="850"/>
      <c r="D2" s="850"/>
      <c r="E2" s="850"/>
      <c r="F2" s="850"/>
      <c r="G2" s="849"/>
      <c r="H2" s="849"/>
      <c r="I2" s="849"/>
      <c r="J2" s="849"/>
      <c r="K2" s="849"/>
      <c r="L2" s="849"/>
      <c r="M2" s="849"/>
    </row>
    <row r="3" spans="1:13" ht="43.2" x14ac:dyDescent="0.35">
      <c r="A3" s="242" t="s">
        <v>36</v>
      </c>
      <c r="B3" s="241" t="s">
        <v>167</v>
      </c>
      <c r="C3" s="237" t="s">
        <v>159</v>
      </c>
      <c r="D3" s="237" t="s">
        <v>168</v>
      </c>
      <c r="E3" s="237" t="s">
        <v>161</v>
      </c>
      <c r="F3" s="238"/>
      <c r="G3" s="849"/>
      <c r="H3" s="849"/>
      <c r="I3" s="849"/>
      <c r="J3" s="849"/>
      <c r="K3" s="849"/>
      <c r="L3" s="849"/>
      <c r="M3" s="849"/>
    </row>
    <row r="4" spans="1:13" ht="14.4" customHeight="1" x14ac:dyDescent="0.3">
      <c r="A4" s="243">
        <v>1</v>
      </c>
      <c r="B4" s="204" t="s">
        <v>266</v>
      </c>
      <c r="C4" s="20" t="s">
        <v>166</v>
      </c>
      <c r="D4" s="23"/>
      <c r="E4" s="23"/>
      <c r="F4" s="239"/>
      <c r="G4" s="195"/>
      <c r="H4" s="195"/>
      <c r="I4" s="195"/>
      <c r="J4" s="195"/>
      <c r="K4" s="195"/>
      <c r="L4" s="196"/>
      <c r="M4" s="196"/>
    </row>
    <row r="5" spans="1:13" ht="14.4" customHeight="1" x14ac:dyDescent="0.3">
      <c r="A5" s="243">
        <v>2</v>
      </c>
      <c r="B5" s="204" t="s">
        <v>268</v>
      </c>
      <c r="C5" s="20" t="s">
        <v>267</v>
      </c>
      <c r="D5" s="23"/>
      <c r="E5" s="23"/>
      <c r="F5" s="239"/>
      <c r="G5" s="197"/>
      <c r="H5" s="193"/>
      <c r="I5" s="193"/>
      <c r="J5" s="193"/>
      <c r="K5" s="193"/>
      <c r="L5" s="193"/>
      <c r="M5" s="193"/>
    </row>
    <row r="6" spans="1:13" ht="14.4" customHeight="1" x14ac:dyDescent="0.3">
      <c r="A6" s="243">
        <v>3</v>
      </c>
      <c r="B6" s="204" t="s">
        <v>269</v>
      </c>
      <c r="C6" s="20" t="s">
        <v>267</v>
      </c>
      <c r="D6" s="23"/>
      <c r="E6" s="23"/>
      <c r="F6" s="239"/>
      <c r="G6" s="197"/>
      <c r="H6" s="193"/>
      <c r="I6" s="193"/>
      <c r="J6" s="193"/>
      <c r="K6" s="193"/>
      <c r="L6" s="193"/>
      <c r="M6" s="193"/>
    </row>
    <row r="7" spans="1:13" ht="14.4" customHeight="1" x14ac:dyDescent="0.3">
      <c r="A7" s="243">
        <v>4</v>
      </c>
      <c r="B7" s="204"/>
      <c r="C7" s="246" t="s">
        <v>166</v>
      </c>
      <c r="D7" s="23"/>
      <c r="E7" s="23"/>
      <c r="F7" s="239"/>
      <c r="G7" s="197"/>
      <c r="H7" s="193"/>
      <c r="I7" s="193"/>
      <c r="J7" s="193"/>
      <c r="K7" s="193"/>
      <c r="L7" s="193"/>
      <c r="M7" s="193"/>
    </row>
    <row r="8" spans="1:13" ht="14.4" customHeight="1" x14ac:dyDescent="0.3">
      <c r="A8" s="243">
        <v>5</v>
      </c>
      <c r="B8" s="204"/>
      <c r="C8" s="246" t="s">
        <v>166</v>
      </c>
      <c r="D8" s="23"/>
      <c r="E8" s="23"/>
      <c r="F8" s="239"/>
      <c r="G8" s="197"/>
      <c r="H8" s="193"/>
      <c r="I8" s="193"/>
      <c r="J8" s="193"/>
      <c r="K8" s="193"/>
      <c r="L8" s="193"/>
      <c r="M8" s="193"/>
    </row>
    <row r="9" spans="1:13" ht="14.4" customHeight="1" x14ac:dyDescent="0.3">
      <c r="A9" s="243">
        <v>6</v>
      </c>
      <c r="B9" s="204"/>
      <c r="C9" s="246" t="s">
        <v>166</v>
      </c>
      <c r="D9" s="23"/>
      <c r="E9" s="23"/>
      <c r="F9" s="239"/>
      <c r="G9" s="197"/>
      <c r="H9" s="193"/>
      <c r="I9" s="193"/>
      <c r="J9" s="193"/>
      <c r="K9" s="193"/>
      <c r="L9" s="193"/>
      <c r="M9" s="193"/>
    </row>
    <row r="10" spans="1:13" ht="14.4" customHeight="1" x14ac:dyDescent="0.3">
      <c r="A10" s="243">
        <v>7</v>
      </c>
      <c r="B10" s="204"/>
      <c r="C10" s="246" t="s">
        <v>166</v>
      </c>
      <c r="D10" s="23"/>
      <c r="E10" s="23"/>
      <c r="F10" s="239"/>
      <c r="G10" s="197"/>
      <c r="H10" s="193"/>
      <c r="I10" s="193"/>
      <c r="J10" s="193"/>
      <c r="K10" s="193"/>
      <c r="L10" s="193"/>
      <c r="M10" s="193"/>
    </row>
    <row r="11" spans="1:13" ht="14.4" customHeight="1" x14ac:dyDescent="0.3">
      <c r="A11" s="243">
        <v>8</v>
      </c>
      <c r="B11" s="204"/>
      <c r="C11" s="23"/>
      <c r="D11" s="23"/>
      <c r="E11" s="23"/>
      <c r="F11" s="239"/>
      <c r="G11" s="197"/>
      <c r="H11" s="193"/>
      <c r="I11" s="193"/>
      <c r="J11" s="193"/>
      <c r="K11" s="193"/>
      <c r="L11" s="193"/>
      <c r="M11" s="193"/>
    </row>
    <row r="12" spans="1:13" ht="14.4" customHeight="1" x14ac:dyDescent="0.3">
      <c r="A12" s="243">
        <v>9</v>
      </c>
      <c r="B12" s="204"/>
      <c r="C12" s="23"/>
      <c r="D12" s="23"/>
      <c r="E12" s="23"/>
      <c r="F12" s="239"/>
      <c r="G12" s="197"/>
      <c r="H12" s="193"/>
      <c r="I12" s="193"/>
      <c r="J12" s="193"/>
      <c r="K12" s="193"/>
      <c r="L12" s="193"/>
      <c r="M12" s="193"/>
    </row>
    <row r="13" spans="1:13" ht="14.4" customHeight="1" x14ac:dyDescent="0.3">
      <c r="A13" s="243">
        <v>10</v>
      </c>
      <c r="B13" s="204"/>
      <c r="C13" s="23"/>
      <c r="D13" s="23"/>
      <c r="E13" s="23"/>
      <c r="F13" s="239"/>
      <c r="G13" s="197"/>
      <c r="H13" s="193"/>
      <c r="I13" s="193"/>
      <c r="J13" s="193"/>
      <c r="K13" s="193"/>
      <c r="L13" s="193"/>
      <c r="M13" s="193"/>
    </row>
    <row r="14" spans="1:13" ht="14.4" customHeight="1" x14ac:dyDescent="0.3">
      <c r="A14" s="244"/>
      <c r="B14" s="204"/>
      <c r="C14" s="23"/>
      <c r="D14" s="23"/>
      <c r="E14" s="23"/>
      <c r="F14" s="239"/>
      <c r="G14" s="197"/>
      <c r="H14" s="193"/>
      <c r="I14" s="193"/>
      <c r="J14" s="193"/>
      <c r="K14" s="193"/>
      <c r="L14" s="193"/>
      <c r="M14" s="193"/>
    </row>
    <row r="15" spans="1:13" ht="14.4" customHeight="1" x14ac:dyDescent="0.3">
      <c r="A15" s="244"/>
      <c r="B15" s="204"/>
      <c r="C15" s="23"/>
      <c r="D15" s="23"/>
      <c r="E15" s="23"/>
      <c r="F15" s="239"/>
      <c r="G15" s="197"/>
      <c r="H15" s="193"/>
      <c r="I15" s="193"/>
      <c r="J15" s="193"/>
      <c r="K15" s="193"/>
      <c r="L15" s="193"/>
      <c r="M15" s="193"/>
    </row>
    <row r="16" spans="1:13" ht="14.4" customHeight="1" x14ac:dyDescent="0.3">
      <c r="A16" s="244"/>
      <c r="B16" s="204"/>
      <c r="C16" s="23"/>
      <c r="D16" s="23"/>
      <c r="E16" s="23"/>
      <c r="F16" s="239"/>
      <c r="G16" s="197"/>
      <c r="H16" s="193"/>
      <c r="I16" s="193"/>
      <c r="J16" s="193"/>
      <c r="K16" s="193"/>
      <c r="L16" s="193"/>
      <c r="M16" s="193"/>
    </row>
    <row r="17" spans="1:13" ht="14.4" customHeight="1" x14ac:dyDescent="0.3">
      <c r="A17" s="244"/>
      <c r="B17" s="204"/>
      <c r="C17" s="23"/>
      <c r="D17" s="23"/>
      <c r="E17" s="23"/>
      <c r="F17" s="239"/>
      <c r="G17" s="197"/>
      <c r="H17" s="193"/>
      <c r="I17" s="193"/>
      <c r="J17" s="193"/>
      <c r="K17" s="193"/>
      <c r="L17" s="193"/>
      <c r="M17" s="193"/>
    </row>
    <row r="18" spans="1:13" ht="14.4" customHeight="1" x14ac:dyDescent="0.3">
      <c r="A18" s="244"/>
      <c r="B18" s="204"/>
      <c r="C18" s="23"/>
      <c r="D18" s="23"/>
      <c r="E18" s="23"/>
      <c r="F18" s="239"/>
      <c r="G18" s="197"/>
      <c r="H18" s="193"/>
      <c r="I18" s="193"/>
      <c r="J18" s="193"/>
      <c r="K18" s="193"/>
      <c r="L18" s="193"/>
      <c r="M18" s="193"/>
    </row>
    <row r="19" spans="1:13" ht="14.4" customHeight="1" x14ac:dyDescent="0.3">
      <c r="A19" s="244"/>
      <c r="B19" s="204"/>
      <c r="C19" s="23"/>
      <c r="D19" s="23"/>
      <c r="E19" s="23"/>
      <c r="F19" s="239"/>
      <c r="G19" s="197"/>
      <c r="H19" s="193"/>
      <c r="I19" s="193"/>
      <c r="J19" s="193"/>
      <c r="K19" s="193"/>
      <c r="L19" s="193"/>
      <c r="M19" s="193"/>
    </row>
    <row r="20" spans="1:13" ht="14.4" customHeight="1" x14ac:dyDescent="0.3">
      <c r="A20" s="244"/>
      <c r="B20" s="204"/>
      <c r="C20" s="23"/>
      <c r="D20" s="23"/>
      <c r="E20" s="23"/>
      <c r="F20" s="239"/>
      <c r="G20" s="197"/>
      <c r="H20" s="193"/>
      <c r="I20" s="193"/>
      <c r="J20" s="193"/>
      <c r="K20" s="193"/>
      <c r="L20" s="193"/>
      <c r="M20" s="193"/>
    </row>
    <row r="21" spans="1:13" ht="14.4" customHeight="1" x14ac:dyDescent="0.3">
      <c r="A21" s="244"/>
      <c r="B21" s="204"/>
      <c r="C21" s="23"/>
      <c r="D21" s="23"/>
      <c r="E21" s="23"/>
      <c r="F21" s="239"/>
      <c r="G21" s="197"/>
      <c r="H21" s="193"/>
      <c r="I21" s="193"/>
      <c r="J21" s="193"/>
      <c r="K21" s="193"/>
      <c r="L21" s="193"/>
      <c r="M21" s="193"/>
    </row>
    <row r="22" spans="1:13" ht="14.4" customHeight="1" x14ac:dyDescent="0.3">
      <c r="A22" s="244"/>
      <c r="B22" s="204"/>
      <c r="C22" s="23"/>
      <c r="D22" s="23"/>
      <c r="E22" s="23"/>
      <c r="F22" s="239"/>
      <c r="G22" s="197"/>
      <c r="H22" s="193"/>
      <c r="I22" s="193"/>
      <c r="J22" s="193"/>
      <c r="K22" s="193"/>
      <c r="L22" s="193"/>
      <c r="M22" s="193"/>
    </row>
    <row r="23" spans="1:13" ht="14.4" customHeight="1" x14ac:dyDescent="0.3">
      <c r="A23" s="244"/>
      <c r="B23" s="204"/>
      <c r="C23" s="23"/>
      <c r="D23" s="23"/>
      <c r="E23" s="23"/>
      <c r="F23" s="239"/>
      <c r="G23" s="197"/>
      <c r="H23" s="193"/>
      <c r="I23" s="193"/>
      <c r="J23" s="193"/>
      <c r="K23" s="193"/>
      <c r="L23" s="193"/>
      <c r="M23" s="193"/>
    </row>
    <row r="24" spans="1:13" ht="14.4" customHeight="1" thickBot="1" x14ac:dyDescent="0.35">
      <c r="A24" s="245"/>
      <c r="B24" s="206"/>
      <c r="C24" s="203"/>
      <c r="D24" s="203"/>
      <c r="E24" s="203"/>
      <c r="F24" s="240"/>
      <c r="G24" s="197"/>
      <c r="H24" s="193"/>
      <c r="I24" s="193"/>
      <c r="J24" s="193"/>
      <c r="K24" s="193"/>
      <c r="L24" s="193"/>
      <c r="M24" s="193"/>
    </row>
    <row r="25" spans="1:13" ht="14.4" customHeight="1" x14ac:dyDescent="0.3">
      <c r="A25" s="193"/>
      <c r="B25" s="193"/>
      <c r="C25" s="193"/>
      <c r="D25" s="193"/>
      <c r="E25" s="193"/>
      <c r="F25" s="193"/>
      <c r="G25" s="197"/>
      <c r="H25" s="193"/>
      <c r="I25" s="193"/>
      <c r="J25" s="193"/>
      <c r="K25" s="193"/>
      <c r="L25" s="193"/>
      <c r="M25" s="193"/>
    </row>
    <row r="26" spans="1:13" ht="14.4" customHeight="1" x14ac:dyDescent="0.3">
      <c r="A26" s="193"/>
      <c r="B26" s="193"/>
      <c r="C26" s="193"/>
      <c r="D26" s="193"/>
      <c r="E26" s="193"/>
      <c r="F26" s="193"/>
      <c r="G26" s="197"/>
      <c r="H26" s="193"/>
      <c r="I26" s="193"/>
      <c r="J26" s="193"/>
      <c r="K26" s="193"/>
      <c r="L26" s="193"/>
      <c r="M26" s="193"/>
    </row>
    <row r="27" spans="1:13" ht="14.4" customHeight="1" x14ac:dyDescent="0.3">
      <c r="A27" s="193"/>
      <c r="B27" s="193"/>
      <c r="C27" s="193"/>
      <c r="D27" s="193"/>
      <c r="E27" s="193"/>
      <c r="F27" s="193"/>
      <c r="G27" s="197"/>
      <c r="H27" s="193"/>
      <c r="I27" s="193"/>
      <c r="J27" s="193"/>
      <c r="K27" s="193"/>
      <c r="L27" s="193"/>
      <c r="M27" s="193"/>
    </row>
    <row r="28" spans="1:13" ht="14.4" customHeight="1" x14ac:dyDescent="0.3">
      <c r="A28" s="193"/>
      <c r="B28" s="193"/>
      <c r="C28" s="193"/>
      <c r="D28" s="193"/>
      <c r="E28" s="193"/>
      <c r="F28" s="193"/>
      <c r="G28" s="197"/>
      <c r="H28" s="193"/>
      <c r="I28" s="193"/>
      <c r="J28" s="193"/>
      <c r="K28" s="193"/>
      <c r="L28" s="193"/>
      <c r="M28" s="193"/>
    </row>
    <row r="29" spans="1:13" ht="14.4" customHeight="1" x14ac:dyDescent="0.3">
      <c r="A29" s="193"/>
      <c r="B29" s="193"/>
      <c r="C29" s="193"/>
      <c r="D29" s="193"/>
      <c r="E29" s="193"/>
      <c r="F29" s="193"/>
      <c r="G29" s="197"/>
      <c r="H29" s="193"/>
      <c r="I29" s="193"/>
      <c r="J29" s="193"/>
      <c r="K29" s="193"/>
      <c r="L29" s="193"/>
      <c r="M29" s="193"/>
    </row>
    <row r="30" spans="1:13" ht="14.4" customHeight="1" x14ac:dyDescent="0.3">
      <c r="A30" s="193"/>
      <c r="B30" s="193"/>
      <c r="C30" s="193"/>
      <c r="D30" s="193"/>
      <c r="E30" s="193"/>
      <c r="F30" s="193"/>
      <c r="G30" s="197"/>
      <c r="H30" s="193"/>
      <c r="I30" s="193"/>
      <c r="J30" s="193"/>
      <c r="K30" s="193"/>
      <c r="L30" s="193"/>
      <c r="M30" s="193"/>
    </row>
    <row r="31" spans="1:13" ht="14.4" customHeight="1" x14ac:dyDescent="0.3">
      <c r="A31" s="193"/>
      <c r="B31" s="193"/>
      <c r="C31" s="193"/>
      <c r="D31" s="193"/>
      <c r="E31" s="193"/>
      <c r="F31" s="193"/>
      <c r="G31" s="197"/>
      <c r="H31" s="193"/>
      <c r="I31" s="193"/>
      <c r="J31" s="193"/>
      <c r="K31" s="193"/>
      <c r="L31" s="193"/>
      <c r="M31" s="193"/>
    </row>
    <row r="32" spans="1:13" ht="14.4" customHeight="1" x14ac:dyDescent="0.3">
      <c r="A32" s="193"/>
      <c r="B32" s="193"/>
      <c r="C32" s="193"/>
      <c r="D32" s="193"/>
      <c r="E32" s="193"/>
      <c r="F32" s="193"/>
      <c r="G32" s="197"/>
      <c r="H32" s="193"/>
      <c r="I32" s="193"/>
      <c r="J32" s="193"/>
      <c r="K32" s="193"/>
      <c r="L32" s="193"/>
      <c r="M32" s="193"/>
    </row>
    <row r="33" spans="1:13" ht="14.4" customHeight="1" x14ac:dyDescent="0.3">
      <c r="A33" s="193"/>
      <c r="B33" s="193"/>
      <c r="C33" s="193"/>
      <c r="D33" s="193"/>
      <c r="E33" s="193"/>
      <c r="F33" s="193"/>
      <c r="G33" s="197"/>
      <c r="H33" s="193"/>
      <c r="I33" s="193"/>
      <c r="J33" s="193"/>
      <c r="K33" s="193"/>
      <c r="L33" s="193"/>
      <c r="M33" s="193"/>
    </row>
    <row r="34" spans="1:13" ht="14.4" customHeight="1" x14ac:dyDescent="0.3">
      <c r="A34" s="193"/>
      <c r="B34" s="193"/>
      <c r="C34" s="193"/>
      <c r="D34" s="193"/>
      <c r="E34" s="193"/>
      <c r="F34" s="193"/>
      <c r="G34" s="197"/>
      <c r="H34" s="193"/>
      <c r="I34" s="193"/>
      <c r="J34" s="193"/>
      <c r="K34" s="193"/>
      <c r="L34" s="193"/>
      <c r="M34" s="193"/>
    </row>
    <row r="35" spans="1:13" ht="14.4" customHeight="1" x14ac:dyDescent="0.3">
      <c r="A35" s="193"/>
      <c r="B35" s="193"/>
      <c r="C35" s="193"/>
      <c r="D35" s="193"/>
      <c r="E35" s="193"/>
      <c r="F35" s="193"/>
      <c r="G35" s="197"/>
      <c r="H35" s="193"/>
      <c r="I35" s="193"/>
      <c r="J35" s="193"/>
      <c r="K35" s="193"/>
      <c r="L35" s="193"/>
      <c r="M35" s="193"/>
    </row>
    <row r="36" spans="1:13" ht="14.4" customHeight="1" x14ac:dyDescent="0.3">
      <c r="A36" s="193"/>
      <c r="B36" s="193"/>
      <c r="C36" s="193"/>
      <c r="D36" s="193"/>
      <c r="E36" s="193"/>
      <c r="F36" s="193"/>
      <c r="G36" s="197"/>
      <c r="H36" s="193"/>
      <c r="I36" s="193"/>
      <c r="J36" s="193"/>
      <c r="K36" s="193"/>
      <c r="L36" s="193"/>
      <c r="M36" s="193"/>
    </row>
    <row r="37" spans="1:13" ht="14.4" customHeight="1" x14ac:dyDescent="0.3">
      <c r="A37" s="193"/>
      <c r="B37" s="193"/>
      <c r="C37" s="193"/>
      <c r="D37" s="193"/>
      <c r="E37" s="193"/>
      <c r="F37" s="193"/>
      <c r="G37" s="197"/>
      <c r="H37" s="193"/>
      <c r="I37" s="193"/>
      <c r="J37" s="193"/>
      <c r="K37" s="193"/>
      <c r="L37" s="193"/>
      <c r="M37" s="193"/>
    </row>
    <row r="38" spans="1:13" ht="14.4" customHeight="1" x14ac:dyDescent="0.3">
      <c r="A38" s="193"/>
      <c r="B38" s="193"/>
      <c r="C38" s="193"/>
      <c r="D38" s="193"/>
      <c r="E38" s="193"/>
      <c r="F38" s="193"/>
      <c r="G38" s="197"/>
      <c r="H38" s="193"/>
      <c r="I38" s="193"/>
      <c r="J38" s="193"/>
      <c r="K38" s="193"/>
      <c r="L38" s="193"/>
      <c r="M38" s="193"/>
    </row>
    <row r="39" spans="1:13" ht="14.4" customHeight="1" x14ac:dyDescent="0.3">
      <c r="A39" s="193"/>
      <c r="B39" s="193"/>
      <c r="C39" s="193"/>
      <c r="D39" s="193"/>
      <c r="E39" s="193"/>
      <c r="F39" s="193"/>
      <c r="G39" s="197"/>
      <c r="H39" s="193"/>
      <c r="I39" s="193"/>
      <c r="J39" s="193"/>
      <c r="K39" s="193"/>
      <c r="L39" s="193"/>
      <c r="M39" s="193"/>
    </row>
    <row r="40" spans="1:13" ht="14.4" customHeight="1" x14ac:dyDescent="0.3">
      <c r="A40" s="193"/>
      <c r="B40" s="193"/>
      <c r="C40" s="193"/>
      <c r="D40" s="193"/>
      <c r="E40" s="193"/>
      <c r="F40" s="193"/>
      <c r="G40" s="197"/>
      <c r="H40" s="193"/>
      <c r="I40" s="193"/>
      <c r="J40" s="193"/>
      <c r="K40" s="193"/>
      <c r="L40" s="193"/>
      <c r="M40" s="193"/>
    </row>
    <row r="41" spans="1:13" ht="14.4" customHeight="1" x14ac:dyDescent="0.3">
      <c r="A41" s="193"/>
      <c r="B41" s="193"/>
      <c r="C41" s="193"/>
      <c r="D41" s="193"/>
      <c r="E41" s="193"/>
      <c r="F41" s="193"/>
      <c r="G41" s="197"/>
      <c r="H41" s="193"/>
      <c r="I41" s="193"/>
      <c r="J41" s="193"/>
      <c r="K41" s="193"/>
      <c r="L41" s="193"/>
      <c r="M41" s="193"/>
    </row>
    <row r="42" spans="1:13" ht="14.4" customHeight="1" x14ac:dyDescent="0.3">
      <c r="A42" s="193"/>
      <c r="B42" s="193"/>
      <c r="C42" s="193"/>
      <c r="D42" s="193"/>
      <c r="E42" s="193"/>
      <c r="F42" s="193"/>
      <c r="G42" s="197"/>
      <c r="H42" s="193"/>
      <c r="I42" s="193"/>
      <c r="J42" s="193"/>
      <c r="K42" s="193"/>
      <c r="L42" s="193"/>
      <c r="M42" s="193"/>
    </row>
    <row r="43" spans="1:13" x14ac:dyDescent="0.3">
      <c r="G43" s="193"/>
      <c r="H43" s="193"/>
      <c r="I43" s="193"/>
    </row>
    <row r="44" spans="1:13" ht="18" x14ac:dyDescent="0.35">
      <c r="A44" s="850" t="s">
        <v>165</v>
      </c>
      <c r="B44" s="850"/>
      <c r="C44" s="850"/>
      <c r="D44" s="850"/>
      <c r="E44" s="850"/>
      <c r="F44" s="850"/>
      <c r="G44" s="194"/>
      <c r="H44" s="194"/>
      <c r="I44" s="194"/>
    </row>
    <row r="45" spans="1:13" ht="18" x14ac:dyDescent="0.35">
      <c r="A45" s="850" t="s">
        <v>217</v>
      </c>
      <c r="B45" s="850"/>
      <c r="C45" s="850"/>
      <c r="D45" s="850"/>
      <c r="E45" s="850"/>
      <c r="F45" s="850"/>
      <c r="G45" s="194"/>
      <c r="H45" s="194"/>
      <c r="I45" s="194"/>
    </row>
    <row r="46" spans="1:13" ht="43.8" thickBot="1" x14ac:dyDescent="0.35">
      <c r="A46" s="199" t="s">
        <v>36</v>
      </c>
      <c r="B46" s="199" t="s">
        <v>167</v>
      </c>
      <c r="C46" s="199" t="s">
        <v>159</v>
      </c>
      <c r="D46" s="199" t="s">
        <v>168</v>
      </c>
      <c r="E46" s="199" t="s">
        <v>161</v>
      </c>
      <c r="F46" s="199" t="s">
        <v>190</v>
      </c>
      <c r="G46" s="194"/>
      <c r="H46" s="194"/>
      <c r="I46" s="194"/>
    </row>
    <row r="47" spans="1:13" x14ac:dyDescent="0.3">
      <c r="A47" s="866">
        <v>1</v>
      </c>
      <c r="B47" s="234" t="s">
        <v>263</v>
      </c>
      <c r="C47" s="225" t="s">
        <v>169</v>
      </c>
      <c r="D47" s="862">
        <v>10</v>
      </c>
      <c r="E47" s="862"/>
      <c r="F47" s="863"/>
      <c r="G47" s="194"/>
      <c r="H47" s="194"/>
      <c r="I47" s="194"/>
    </row>
    <row r="48" spans="1:13" x14ac:dyDescent="0.3">
      <c r="A48" s="867"/>
      <c r="B48" s="235" t="s">
        <v>264</v>
      </c>
      <c r="C48" s="1" t="s">
        <v>169</v>
      </c>
      <c r="D48" s="853"/>
      <c r="E48" s="853"/>
      <c r="F48" s="855"/>
      <c r="G48" s="194"/>
      <c r="H48" s="194"/>
      <c r="I48" s="194"/>
    </row>
    <row r="49" spans="1:9" x14ac:dyDescent="0.3">
      <c r="A49" s="860">
        <v>2</v>
      </c>
      <c r="B49" s="213"/>
      <c r="C49" s="247" t="s">
        <v>169</v>
      </c>
      <c r="D49" s="852"/>
      <c r="E49" s="852"/>
      <c r="F49" s="854"/>
      <c r="G49" s="194"/>
      <c r="H49" s="194"/>
      <c r="I49" s="194"/>
    </row>
    <row r="50" spans="1:9" x14ac:dyDescent="0.3">
      <c r="A50" s="867"/>
      <c r="B50" s="213"/>
      <c r="C50" s="247" t="s">
        <v>169</v>
      </c>
      <c r="D50" s="853"/>
      <c r="E50" s="853"/>
      <c r="F50" s="855"/>
      <c r="G50" s="194"/>
      <c r="H50" s="194"/>
      <c r="I50" s="194"/>
    </row>
    <row r="51" spans="1:9" x14ac:dyDescent="0.3">
      <c r="A51" s="858">
        <v>3</v>
      </c>
      <c r="B51" s="214"/>
      <c r="C51" s="247" t="s">
        <v>170</v>
      </c>
      <c r="D51" s="852"/>
      <c r="E51" s="852"/>
      <c r="F51" s="854"/>
      <c r="G51" s="194"/>
      <c r="H51" s="194"/>
      <c r="I51" s="194"/>
    </row>
    <row r="52" spans="1:9" x14ac:dyDescent="0.3">
      <c r="A52" s="859"/>
      <c r="B52" s="214"/>
      <c r="C52" s="247" t="s">
        <v>170</v>
      </c>
      <c r="D52" s="853"/>
      <c r="E52" s="853"/>
      <c r="F52" s="855"/>
      <c r="G52" s="194"/>
      <c r="H52" s="194"/>
      <c r="I52" s="194"/>
    </row>
    <row r="53" spans="1:9" x14ac:dyDescent="0.3">
      <c r="A53" s="860">
        <v>4</v>
      </c>
      <c r="B53" s="214"/>
      <c r="C53" s="247" t="s">
        <v>170</v>
      </c>
      <c r="D53" s="852"/>
      <c r="E53" s="852"/>
      <c r="F53" s="854"/>
      <c r="G53" s="194"/>
      <c r="H53" s="194"/>
      <c r="I53" s="194"/>
    </row>
    <row r="54" spans="1:9" ht="15" thickBot="1" x14ac:dyDescent="0.35">
      <c r="A54" s="861"/>
      <c r="B54" s="215"/>
      <c r="C54" s="249" t="s">
        <v>170</v>
      </c>
      <c r="D54" s="856"/>
      <c r="E54" s="856"/>
      <c r="F54" s="857"/>
      <c r="G54" s="194"/>
      <c r="H54" s="194"/>
      <c r="I54" s="194"/>
    </row>
    <row r="55" spans="1:9" x14ac:dyDescent="0.3">
      <c r="A55" s="866">
        <v>5</v>
      </c>
      <c r="B55" s="216" t="s">
        <v>186</v>
      </c>
      <c r="C55" s="225" t="s">
        <v>171</v>
      </c>
      <c r="D55" s="862">
        <v>20</v>
      </c>
      <c r="E55" s="862">
        <v>20</v>
      </c>
      <c r="F55" s="863"/>
      <c r="G55" s="194"/>
      <c r="H55" s="194"/>
      <c r="I55" s="194"/>
    </row>
    <row r="56" spans="1:9" x14ac:dyDescent="0.3">
      <c r="A56" s="867"/>
      <c r="B56" s="214" t="s">
        <v>187</v>
      </c>
      <c r="C56" s="1" t="s">
        <v>171</v>
      </c>
      <c r="D56" s="853"/>
      <c r="E56" s="853"/>
      <c r="F56" s="855"/>
      <c r="G56" s="194"/>
      <c r="H56" s="194"/>
      <c r="I56" s="194"/>
    </row>
    <row r="57" spans="1:9" x14ac:dyDescent="0.3">
      <c r="A57" s="858">
        <v>6</v>
      </c>
      <c r="B57" s="214" t="s">
        <v>188</v>
      </c>
      <c r="C57" s="1" t="s">
        <v>171</v>
      </c>
      <c r="D57" s="852">
        <v>16</v>
      </c>
      <c r="E57" s="852">
        <v>20</v>
      </c>
      <c r="F57" s="854"/>
      <c r="G57" s="194"/>
      <c r="H57" s="194"/>
      <c r="I57" s="194"/>
    </row>
    <row r="58" spans="1:9" x14ac:dyDescent="0.3">
      <c r="A58" s="859"/>
      <c r="B58" s="214" t="s">
        <v>189</v>
      </c>
      <c r="C58" s="1" t="s">
        <v>171</v>
      </c>
      <c r="D58" s="853"/>
      <c r="E58" s="853"/>
      <c r="F58" s="855"/>
      <c r="G58" s="194"/>
      <c r="H58" s="194"/>
      <c r="I58" s="194"/>
    </row>
    <row r="59" spans="1:9" x14ac:dyDescent="0.3">
      <c r="A59" s="860">
        <v>7</v>
      </c>
      <c r="B59" s="214"/>
      <c r="C59" s="1" t="s">
        <v>172</v>
      </c>
      <c r="D59" s="852">
        <v>283</v>
      </c>
      <c r="E59" s="852">
        <v>20</v>
      </c>
      <c r="F59" s="854"/>
      <c r="G59" s="194"/>
      <c r="H59" s="194"/>
      <c r="I59" s="194"/>
    </row>
    <row r="60" spans="1:9" x14ac:dyDescent="0.3">
      <c r="A60" s="867"/>
      <c r="B60" s="214"/>
      <c r="C60" s="1" t="s">
        <v>172</v>
      </c>
      <c r="D60" s="853"/>
      <c r="E60" s="853"/>
      <c r="F60" s="855"/>
      <c r="G60" s="194"/>
      <c r="H60" s="194"/>
      <c r="I60" s="194"/>
    </row>
    <row r="61" spans="1:9" x14ac:dyDescent="0.3">
      <c r="A61" s="860">
        <v>8</v>
      </c>
      <c r="B61" s="214"/>
      <c r="C61" s="247" t="s">
        <v>172</v>
      </c>
      <c r="D61" s="852"/>
      <c r="E61" s="852"/>
      <c r="F61" s="854"/>
      <c r="G61" s="194"/>
      <c r="H61" s="194"/>
      <c r="I61" s="194"/>
    </row>
    <row r="62" spans="1:9" ht="15" thickBot="1" x14ac:dyDescent="0.35">
      <c r="A62" s="868"/>
      <c r="B62" s="217"/>
      <c r="C62" s="248" t="s">
        <v>172</v>
      </c>
      <c r="D62" s="871"/>
      <c r="E62" s="871"/>
      <c r="F62" s="864"/>
      <c r="G62" s="194"/>
      <c r="H62" s="194"/>
      <c r="I62" s="194"/>
    </row>
    <row r="63" spans="1:9" x14ac:dyDescent="0.3">
      <c r="A63" s="869"/>
      <c r="B63" s="220"/>
      <c r="C63" s="221"/>
      <c r="D63" s="865"/>
      <c r="E63" s="865"/>
      <c r="F63" s="865"/>
      <c r="G63" s="194"/>
      <c r="H63" s="194"/>
      <c r="I63" s="194"/>
    </row>
    <row r="64" spans="1:9" x14ac:dyDescent="0.3">
      <c r="A64" s="869"/>
      <c r="B64" s="220"/>
      <c r="C64" s="221"/>
      <c r="D64" s="865"/>
      <c r="E64" s="865"/>
      <c r="F64" s="865"/>
      <c r="G64" s="194"/>
      <c r="H64" s="194"/>
      <c r="I64" s="194"/>
    </row>
    <row r="65" spans="1:17" x14ac:dyDescent="0.3">
      <c r="A65" s="870"/>
      <c r="B65" s="221"/>
      <c r="C65" s="221"/>
      <c r="D65" s="865"/>
      <c r="E65" s="865"/>
      <c r="F65" s="865"/>
      <c r="G65" s="194"/>
      <c r="H65" s="194"/>
      <c r="I65" s="194"/>
    </row>
    <row r="66" spans="1:17" ht="18" x14ac:dyDescent="0.35">
      <c r="A66" s="870"/>
      <c r="B66" s="221"/>
      <c r="C66" s="221"/>
      <c r="D66" s="865"/>
      <c r="E66" s="865"/>
      <c r="F66" s="865"/>
      <c r="G66" s="194"/>
      <c r="H66" s="194"/>
      <c r="I66" s="194"/>
      <c r="K66" s="849"/>
      <c r="L66" s="849"/>
      <c r="M66" s="849"/>
      <c r="N66" s="849"/>
      <c r="O66" s="849"/>
      <c r="P66" s="849"/>
      <c r="Q66" s="849"/>
    </row>
    <row r="67" spans="1:17" ht="18" x14ac:dyDescent="0.35">
      <c r="A67" s="870"/>
      <c r="B67" s="221"/>
      <c r="C67" s="221"/>
      <c r="D67" s="865"/>
      <c r="E67" s="865"/>
      <c r="F67" s="865"/>
      <c r="G67" s="194"/>
      <c r="H67" s="194"/>
      <c r="I67" s="194"/>
      <c r="K67" s="849"/>
      <c r="L67" s="849"/>
      <c r="M67" s="849"/>
      <c r="N67" s="849"/>
      <c r="O67" s="849"/>
      <c r="P67" s="849"/>
      <c r="Q67" s="849"/>
    </row>
    <row r="68" spans="1:17" x14ac:dyDescent="0.3">
      <c r="A68" s="870"/>
      <c r="B68" s="221"/>
      <c r="C68" s="221"/>
      <c r="D68" s="865"/>
      <c r="E68" s="865"/>
      <c r="F68" s="865"/>
      <c r="G68" s="194"/>
      <c r="H68" s="194"/>
      <c r="I68" s="194"/>
      <c r="K68" s="195"/>
      <c r="L68" s="195"/>
      <c r="M68" s="195"/>
      <c r="N68" s="195"/>
      <c r="O68" s="195"/>
      <c r="P68" s="196"/>
      <c r="Q68" s="196"/>
    </row>
    <row r="69" spans="1:17" x14ac:dyDescent="0.3">
      <c r="A69" s="870"/>
      <c r="B69" s="221"/>
      <c r="C69" s="221"/>
      <c r="D69" s="865"/>
      <c r="E69" s="865"/>
      <c r="F69" s="865"/>
      <c r="G69" s="194"/>
      <c r="H69" s="194"/>
      <c r="I69" s="194"/>
      <c r="K69" s="197"/>
      <c r="L69" s="193"/>
      <c r="M69" s="193"/>
      <c r="N69" s="193"/>
      <c r="O69" s="193"/>
      <c r="P69" s="193"/>
      <c r="Q69" s="193"/>
    </row>
    <row r="70" spans="1:17" x14ac:dyDescent="0.3">
      <c r="A70" s="870"/>
      <c r="B70" s="221"/>
      <c r="C70" s="221"/>
      <c r="D70" s="865"/>
      <c r="E70" s="865"/>
      <c r="F70" s="865"/>
      <c r="G70" s="194"/>
      <c r="H70" s="194"/>
      <c r="I70" s="194"/>
      <c r="K70" s="197"/>
      <c r="L70" s="193"/>
      <c r="M70" s="193"/>
      <c r="N70" s="193"/>
      <c r="O70" s="193"/>
      <c r="P70" s="193"/>
      <c r="Q70" s="193"/>
    </row>
    <row r="71" spans="1:17" x14ac:dyDescent="0.3">
      <c r="A71" s="870"/>
      <c r="B71" s="193"/>
      <c r="C71" s="193"/>
      <c r="D71" s="865"/>
      <c r="E71" s="865"/>
      <c r="F71" s="865"/>
      <c r="G71" s="194"/>
      <c r="H71" s="194"/>
      <c r="I71" s="194"/>
      <c r="K71" s="197"/>
      <c r="L71" s="193"/>
      <c r="M71" s="193"/>
      <c r="N71" s="193"/>
      <c r="O71" s="193"/>
      <c r="P71" s="193"/>
      <c r="Q71" s="193"/>
    </row>
    <row r="72" spans="1:17" x14ac:dyDescent="0.3">
      <c r="A72" s="870"/>
      <c r="B72" s="193"/>
      <c r="C72" s="193"/>
      <c r="D72" s="865"/>
      <c r="E72" s="865"/>
      <c r="F72" s="865"/>
      <c r="G72" s="194"/>
      <c r="H72" s="194"/>
      <c r="I72" s="194"/>
      <c r="K72" s="197"/>
      <c r="L72" s="193"/>
      <c r="M72" s="193"/>
      <c r="N72" s="193"/>
      <c r="O72" s="193"/>
      <c r="P72" s="193"/>
      <c r="Q72" s="193"/>
    </row>
    <row r="73" spans="1:17" ht="21" x14ac:dyDescent="0.3">
      <c r="A73" s="195"/>
      <c r="B73" s="193"/>
      <c r="C73" s="193"/>
      <c r="D73" s="198"/>
      <c r="E73" s="198"/>
      <c r="F73" s="198"/>
      <c r="G73" s="194"/>
      <c r="H73" s="194"/>
      <c r="I73" s="194"/>
      <c r="K73" s="197"/>
      <c r="L73" s="193"/>
      <c r="M73" s="193"/>
      <c r="N73" s="193"/>
      <c r="O73" s="193"/>
      <c r="P73" s="193"/>
      <c r="Q73" s="193"/>
    </row>
    <row r="74" spans="1:17" ht="21" x14ac:dyDescent="0.3">
      <c r="A74" s="195"/>
      <c r="B74" s="193"/>
      <c r="C74" s="193"/>
      <c r="D74" s="198"/>
      <c r="E74" s="198"/>
      <c r="F74" s="198"/>
      <c r="G74" s="194"/>
      <c r="H74" s="194"/>
      <c r="I74" s="194"/>
      <c r="K74" s="197"/>
      <c r="L74" s="193"/>
      <c r="M74" s="193"/>
      <c r="N74" s="193"/>
      <c r="O74" s="193"/>
      <c r="P74" s="193"/>
      <c r="Q74" s="193"/>
    </row>
    <row r="75" spans="1:17" ht="21" x14ac:dyDescent="0.3">
      <c r="A75" s="195"/>
      <c r="B75" s="193"/>
      <c r="C75" s="193"/>
      <c r="D75" s="198"/>
      <c r="E75" s="198"/>
      <c r="F75" s="198"/>
      <c r="G75" s="194"/>
      <c r="H75" s="194"/>
      <c r="I75" s="194"/>
      <c r="K75" s="197"/>
      <c r="L75" s="193"/>
      <c r="M75" s="193"/>
      <c r="N75" s="193"/>
      <c r="O75" s="193"/>
      <c r="P75" s="193"/>
      <c r="Q75" s="193"/>
    </row>
    <row r="76" spans="1:17" ht="21" x14ac:dyDescent="0.3">
      <c r="A76" s="195"/>
      <c r="B76" s="193"/>
      <c r="C76" s="193"/>
      <c r="D76" s="198"/>
      <c r="E76" s="198"/>
      <c r="F76" s="198"/>
      <c r="G76" s="194"/>
      <c r="H76" s="194"/>
      <c r="I76" s="194"/>
      <c r="K76" s="197"/>
      <c r="L76" s="193"/>
      <c r="M76" s="193"/>
      <c r="N76" s="193"/>
      <c r="O76" s="193"/>
      <c r="P76" s="193"/>
      <c r="Q76" s="193"/>
    </row>
    <row r="77" spans="1:17" ht="21" x14ac:dyDescent="0.3">
      <c r="A77" s="195"/>
      <c r="B77" s="193"/>
      <c r="C77" s="193"/>
      <c r="D77" s="198"/>
      <c r="E77" s="198"/>
      <c r="F77" s="198"/>
      <c r="G77" s="194"/>
      <c r="H77" s="194"/>
      <c r="I77" s="194"/>
      <c r="K77" s="197"/>
      <c r="L77" s="193"/>
      <c r="M77" s="193"/>
      <c r="N77" s="193"/>
      <c r="O77" s="193"/>
      <c r="P77" s="193"/>
      <c r="Q77" s="193"/>
    </row>
    <row r="78" spans="1:17" ht="21" x14ac:dyDescent="0.3">
      <c r="A78" s="195"/>
      <c r="B78" s="193"/>
      <c r="C78" s="193"/>
      <c r="D78" s="198"/>
      <c r="E78" s="198"/>
      <c r="F78" s="198"/>
      <c r="G78" s="194"/>
      <c r="H78" s="194"/>
      <c r="I78" s="194"/>
      <c r="K78" s="197"/>
      <c r="L78" s="193"/>
      <c r="M78" s="193"/>
      <c r="N78" s="193"/>
      <c r="O78" s="193"/>
      <c r="P78" s="193"/>
      <c r="Q78" s="193"/>
    </row>
    <row r="79" spans="1:17" ht="21" x14ac:dyDescent="0.3">
      <c r="A79" s="195"/>
      <c r="B79" s="193"/>
      <c r="C79" s="193"/>
      <c r="D79" s="198"/>
      <c r="E79" s="198"/>
      <c r="F79" s="198"/>
      <c r="G79" s="194"/>
      <c r="H79" s="194"/>
      <c r="I79" s="194"/>
      <c r="K79" s="197"/>
      <c r="L79" s="193"/>
      <c r="M79" s="193"/>
      <c r="N79" s="193"/>
      <c r="O79" s="193"/>
      <c r="P79" s="193"/>
      <c r="Q79" s="193"/>
    </row>
    <row r="80" spans="1:17" ht="14.4" customHeight="1" x14ac:dyDescent="0.3">
      <c r="A80" s="219"/>
      <c r="B80" s="193"/>
      <c r="C80" s="193"/>
      <c r="D80" s="198"/>
      <c r="E80" s="198"/>
      <c r="F80" s="198"/>
      <c r="G80" s="194"/>
      <c r="H80" s="194"/>
      <c r="I80" s="194"/>
      <c r="K80" s="197"/>
      <c r="L80" s="193"/>
      <c r="M80" s="193"/>
      <c r="N80" s="193"/>
      <c r="O80" s="193"/>
      <c r="P80" s="193"/>
      <c r="Q80" s="193"/>
    </row>
    <row r="81" spans="1:17" ht="14.4" customHeight="1" x14ac:dyDescent="0.3">
      <c r="A81" s="222"/>
      <c r="B81" s="193"/>
      <c r="C81" s="193"/>
      <c r="D81" s="198"/>
      <c r="E81" s="198"/>
      <c r="F81" s="198"/>
      <c r="K81" s="197"/>
      <c r="L81" s="193"/>
      <c r="M81" s="193"/>
      <c r="N81" s="193"/>
      <c r="O81" s="193"/>
      <c r="P81" s="193"/>
      <c r="Q81" s="193"/>
    </row>
    <row r="82" spans="1:17" x14ac:dyDescent="0.3">
      <c r="K82" s="197"/>
      <c r="L82" s="193"/>
      <c r="M82" s="193"/>
      <c r="N82" s="193"/>
      <c r="O82" s="193"/>
      <c r="P82" s="193"/>
      <c r="Q82" s="193"/>
    </row>
    <row r="83" spans="1:17" ht="18" x14ac:dyDescent="0.35">
      <c r="A83" s="850" t="s">
        <v>165</v>
      </c>
      <c r="B83" s="850"/>
      <c r="C83" s="850"/>
      <c r="D83" s="850"/>
      <c r="E83" s="850"/>
      <c r="F83" s="850"/>
      <c r="K83" s="197"/>
      <c r="L83" s="193"/>
      <c r="M83" s="193"/>
      <c r="N83" s="193"/>
      <c r="O83" s="193"/>
      <c r="P83" s="193"/>
      <c r="Q83" s="193"/>
    </row>
    <row r="84" spans="1:17" ht="18" x14ac:dyDescent="0.35">
      <c r="A84" s="850" t="s">
        <v>216</v>
      </c>
      <c r="B84" s="850"/>
      <c r="C84" s="850"/>
      <c r="D84" s="850"/>
      <c r="E84" s="850"/>
      <c r="F84" s="850"/>
      <c r="K84" s="197"/>
      <c r="L84" s="193"/>
      <c r="M84" s="193"/>
      <c r="N84" s="193"/>
      <c r="O84" s="193"/>
      <c r="P84" s="193"/>
      <c r="Q84" s="193"/>
    </row>
    <row r="85" spans="1:17" ht="43.8" thickBot="1" x14ac:dyDescent="0.35">
      <c r="A85" s="199" t="s">
        <v>36</v>
      </c>
      <c r="B85" s="199" t="s">
        <v>167</v>
      </c>
      <c r="C85" s="199" t="s">
        <v>159</v>
      </c>
      <c r="D85" s="199" t="s">
        <v>168</v>
      </c>
      <c r="E85" s="199" t="s">
        <v>161</v>
      </c>
      <c r="F85" s="199" t="s">
        <v>190</v>
      </c>
      <c r="K85" s="197"/>
      <c r="L85" s="193"/>
      <c r="M85" s="193"/>
      <c r="N85" s="193"/>
      <c r="O85" s="193"/>
      <c r="P85" s="193"/>
      <c r="Q85" s="193"/>
    </row>
    <row r="86" spans="1:17" x14ac:dyDescent="0.3">
      <c r="A86" s="835">
        <v>9</v>
      </c>
      <c r="B86" s="209" t="s">
        <v>191</v>
      </c>
      <c r="C86" s="227" t="s">
        <v>173</v>
      </c>
      <c r="D86" s="877">
        <v>3</v>
      </c>
      <c r="E86" s="877"/>
      <c r="F86" s="878"/>
      <c r="K86" s="197"/>
      <c r="L86" s="193"/>
      <c r="M86" s="193"/>
      <c r="N86" s="193"/>
      <c r="O86" s="193"/>
      <c r="P86" s="193"/>
      <c r="Q86" s="193"/>
    </row>
    <row r="87" spans="1:17" x14ac:dyDescent="0.3">
      <c r="A87" s="836"/>
      <c r="B87" s="210" t="s">
        <v>192</v>
      </c>
      <c r="C87" s="192" t="s">
        <v>173</v>
      </c>
      <c r="D87" s="874"/>
      <c r="E87" s="874"/>
      <c r="F87" s="876"/>
      <c r="K87" s="197"/>
      <c r="L87" s="193"/>
      <c r="M87" s="193"/>
      <c r="N87" s="193"/>
      <c r="O87" s="193"/>
      <c r="P87" s="193"/>
      <c r="Q87" s="193"/>
    </row>
    <row r="88" spans="1:17" x14ac:dyDescent="0.3">
      <c r="A88" s="879">
        <v>10</v>
      </c>
      <c r="B88" s="207"/>
      <c r="C88" s="250" t="s">
        <v>173</v>
      </c>
      <c r="D88" s="881"/>
      <c r="E88" s="881"/>
      <c r="F88" s="882"/>
      <c r="K88" s="193"/>
      <c r="L88" s="193"/>
      <c r="M88" s="193"/>
      <c r="N88" s="193"/>
      <c r="O88" s="193"/>
      <c r="P88" s="193"/>
      <c r="Q88" s="193"/>
    </row>
    <row r="89" spans="1:17" x14ac:dyDescent="0.3">
      <c r="A89" s="880"/>
      <c r="B89" s="207"/>
      <c r="C89" s="250" t="s">
        <v>173</v>
      </c>
      <c r="D89" s="874"/>
      <c r="E89" s="874"/>
      <c r="F89" s="876"/>
    </row>
    <row r="90" spans="1:17" x14ac:dyDescent="0.3">
      <c r="A90" s="879">
        <v>11</v>
      </c>
      <c r="B90" s="207"/>
      <c r="C90" s="250" t="s">
        <v>174</v>
      </c>
      <c r="D90" s="881"/>
      <c r="E90" s="881"/>
      <c r="F90" s="882"/>
    </row>
    <row r="91" spans="1:17" x14ac:dyDescent="0.3">
      <c r="A91" s="880"/>
      <c r="B91" s="207"/>
      <c r="C91" s="250" t="s">
        <v>174</v>
      </c>
      <c r="D91" s="874"/>
      <c r="E91" s="874"/>
      <c r="F91" s="876"/>
    </row>
    <row r="92" spans="1:17" x14ac:dyDescent="0.3">
      <c r="A92" s="879">
        <v>12</v>
      </c>
      <c r="B92" s="207"/>
      <c r="C92" s="250" t="s">
        <v>174</v>
      </c>
      <c r="D92" s="881"/>
      <c r="E92" s="881"/>
      <c r="F92" s="882"/>
    </row>
    <row r="93" spans="1:17" ht="15" thickBot="1" x14ac:dyDescent="0.35">
      <c r="A93" s="883"/>
      <c r="B93" s="208"/>
      <c r="C93" s="251" t="s">
        <v>174</v>
      </c>
      <c r="D93" s="884"/>
      <c r="E93" s="884"/>
      <c r="F93" s="886"/>
    </row>
    <row r="94" spans="1:17" x14ac:dyDescent="0.3">
      <c r="A94" s="887">
        <v>13</v>
      </c>
      <c r="B94" s="205" t="s">
        <v>193</v>
      </c>
      <c r="C94" s="227" t="s">
        <v>175</v>
      </c>
      <c r="D94" s="877">
        <v>9</v>
      </c>
      <c r="E94" s="877">
        <v>20</v>
      </c>
      <c r="F94" s="878"/>
    </row>
    <row r="95" spans="1:17" x14ac:dyDescent="0.3">
      <c r="A95" s="880"/>
      <c r="B95" s="204" t="s">
        <v>194</v>
      </c>
      <c r="C95" s="192" t="s">
        <v>175</v>
      </c>
      <c r="D95" s="874"/>
      <c r="E95" s="874"/>
      <c r="F95" s="876"/>
    </row>
    <row r="96" spans="1:17" x14ac:dyDescent="0.3">
      <c r="A96" s="872">
        <v>9</v>
      </c>
      <c r="B96" s="211"/>
      <c r="C96" s="250" t="s">
        <v>175</v>
      </c>
      <c r="D96" s="873"/>
      <c r="E96" s="873"/>
      <c r="F96" s="875"/>
    </row>
    <row r="97" spans="1:6" x14ac:dyDescent="0.3">
      <c r="A97" s="836"/>
      <c r="B97" s="204"/>
      <c r="C97" s="250" t="s">
        <v>175</v>
      </c>
      <c r="D97" s="874"/>
      <c r="E97" s="874"/>
      <c r="F97" s="876"/>
    </row>
    <row r="98" spans="1:6" x14ac:dyDescent="0.3">
      <c r="A98" s="879">
        <v>10</v>
      </c>
      <c r="B98" s="204"/>
      <c r="C98" s="250" t="s">
        <v>175</v>
      </c>
      <c r="D98" s="881"/>
      <c r="E98" s="881"/>
      <c r="F98" s="882"/>
    </row>
    <row r="99" spans="1:6" x14ac:dyDescent="0.3">
      <c r="A99" s="880"/>
      <c r="B99" s="204"/>
      <c r="C99" s="250" t="s">
        <v>175</v>
      </c>
      <c r="D99" s="874"/>
      <c r="E99" s="874"/>
      <c r="F99" s="876"/>
    </row>
    <row r="100" spans="1:6" x14ac:dyDescent="0.3">
      <c r="A100" s="879">
        <v>11</v>
      </c>
      <c r="B100" s="204"/>
      <c r="C100" s="250" t="s">
        <v>175</v>
      </c>
      <c r="D100" s="881"/>
      <c r="E100" s="881"/>
      <c r="F100" s="882"/>
    </row>
    <row r="101" spans="1:6" ht="15" thickBot="1" x14ac:dyDescent="0.35">
      <c r="A101" s="883"/>
      <c r="B101" s="206"/>
      <c r="C101" s="251" t="s">
        <v>175</v>
      </c>
      <c r="D101" s="884"/>
      <c r="E101" s="884"/>
      <c r="F101" s="886"/>
    </row>
    <row r="125" spans="1:6" ht="18" x14ac:dyDescent="0.35">
      <c r="A125" s="850" t="s">
        <v>165</v>
      </c>
      <c r="B125" s="850"/>
      <c r="C125" s="850"/>
      <c r="D125" s="850"/>
      <c r="E125" s="850"/>
      <c r="F125" s="850"/>
    </row>
    <row r="126" spans="1:6" ht="18" x14ac:dyDescent="0.35">
      <c r="A126" s="850" t="s">
        <v>215</v>
      </c>
      <c r="B126" s="850"/>
      <c r="C126" s="850"/>
      <c r="D126" s="850"/>
      <c r="E126" s="850"/>
      <c r="F126" s="850"/>
    </row>
    <row r="127" spans="1:6" ht="43.8" thickBot="1" x14ac:dyDescent="0.35">
      <c r="A127" s="199" t="s">
        <v>36</v>
      </c>
      <c r="B127" s="199" t="s">
        <v>167</v>
      </c>
      <c r="C127" s="199" t="s">
        <v>159</v>
      </c>
      <c r="D127" s="199" t="s">
        <v>168</v>
      </c>
      <c r="E127" s="199" t="s">
        <v>161</v>
      </c>
      <c r="F127" s="199" t="s">
        <v>190</v>
      </c>
    </row>
    <row r="128" spans="1:6" x14ac:dyDescent="0.3">
      <c r="A128" s="835">
        <v>1</v>
      </c>
      <c r="B128" s="223" t="s">
        <v>195</v>
      </c>
      <c r="C128" s="227" t="s">
        <v>177</v>
      </c>
      <c r="D128" s="845">
        <v>95</v>
      </c>
      <c r="E128" s="845">
        <v>20</v>
      </c>
      <c r="F128" s="846"/>
    </row>
    <row r="129" spans="1:6" ht="15" thickBot="1" x14ac:dyDescent="0.35">
      <c r="A129" s="836"/>
      <c r="B129" s="201" t="s">
        <v>196</v>
      </c>
      <c r="C129" s="189" t="s">
        <v>177</v>
      </c>
      <c r="D129" s="843"/>
      <c r="E129" s="843"/>
      <c r="F129" s="844"/>
    </row>
    <row r="130" spans="1:6" x14ac:dyDescent="0.3">
      <c r="A130" s="835">
        <v>2</v>
      </c>
      <c r="B130" s="201" t="s">
        <v>197</v>
      </c>
      <c r="C130" s="189" t="s">
        <v>177</v>
      </c>
      <c r="D130" s="839">
        <v>4</v>
      </c>
      <c r="E130" s="839">
        <v>20</v>
      </c>
      <c r="F130" s="888"/>
    </row>
    <row r="131" spans="1:6" ht="15" thickBot="1" x14ac:dyDescent="0.35">
      <c r="A131" s="836"/>
      <c r="B131" s="201" t="s">
        <v>198</v>
      </c>
      <c r="C131" s="189" t="s">
        <v>177</v>
      </c>
      <c r="D131" s="843"/>
      <c r="E131" s="843"/>
      <c r="F131" s="888"/>
    </row>
    <row r="132" spans="1:6" x14ac:dyDescent="0.3">
      <c r="A132" s="835">
        <v>3</v>
      </c>
      <c r="B132" s="201" t="s">
        <v>199</v>
      </c>
      <c r="C132" s="189" t="s">
        <v>177</v>
      </c>
      <c r="D132" s="839">
        <v>7</v>
      </c>
      <c r="E132" s="839">
        <v>20</v>
      </c>
      <c r="F132" s="888"/>
    </row>
    <row r="133" spans="1:6" ht="15" thickBot="1" x14ac:dyDescent="0.35">
      <c r="A133" s="836"/>
      <c r="B133" s="201" t="s">
        <v>200</v>
      </c>
      <c r="C133" s="189" t="s">
        <v>177</v>
      </c>
      <c r="D133" s="843"/>
      <c r="E133" s="843"/>
      <c r="F133" s="888"/>
    </row>
    <row r="134" spans="1:6" x14ac:dyDescent="0.3">
      <c r="A134" s="835">
        <v>4</v>
      </c>
      <c r="B134" s="201" t="s">
        <v>201</v>
      </c>
      <c r="C134" s="189" t="s">
        <v>177</v>
      </c>
      <c r="D134" s="839">
        <v>10</v>
      </c>
      <c r="E134" s="839">
        <v>20</v>
      </c>
      <c r="F134" s="888"/>
    </row>
    <row r="135" spans="1:6" ht="15" thickBot="1" x14ac:dyDescent="0.35">
      <c r="A135" s="836"/>
      <c r="B135" s="201" t="s">
        <v>202</v>
      </c>
      <c r="C135" s="189" t="s">
        <v>177</v>
      </c>
      <c r="D135" s="843"/>
      <c r="E135" s="843"/>
      <c r="F135" s="888"/>
    </row>
    <row r="136" spans="1:6" x14ac:dyDescent="0.3">
      <c r="A136" s="835">
        <v>5</v>
      </c>
      <c r="B136" s="201" t="s">
        <v>203</v>
      </c>
      <c r="C136" s="189" t="s">
        <v>177</v>
      </c>
      <c r="D136" s="885">
        <v>120</v>
      </c>
      <c r="E136" s="885">
        <v>20</v>
      </c>
      <c r="F136" s="888"/>
    </row>
    <row r="137" spans="1:6" ht="15" thickBot="1" x14ac:dyDescent="0.35">
      <c r="A137" s="836"/>
      <c r="B137" s="201" t="s">
        <v>204</v>
      </c>
      <c r="C137" s="189" t="s">
        <v>177</v>
      </c>
      <c r="D137" s="885"/>
      <c r="E137" s="885"/>
      <c r="F137" s="888"/>
    </row>
    <row r="138" spans="1:6" x14ac:dyDescent="0.3">
      <c r="A138" s="835">
        <v>6</v>
      </c>
      <c r="B138" s="201" t="s">
        <v>205</v>
      </c>
      <c r="C138" s="189" t="s">
        <v>178</v>
      </c>
      <c r="D138" s="890">
        <v>0.5</v>
      </c>
      <c r="E138" s="885">
        <v>20</v>
      </c>
      <c r="F138" s="888"/>
    </row>
    <row r="139" spans="1:6" ht="15" thickBot="1" x14ac:dyDescent="0.35">
      <c r="A139" s="836"/>
      <c r="B139" s="201" t="s">
        <v>206</v>
      </c>
      <c r="C139" s="189" t="s">
        <v>178</v>
      </c>
      <c r="D139" s="890"/>
      <c r="E139" s="885"/>
      <c r="F139" s="888"/>
    </row>
    <row r="140" spans="1:6" x14ac:dyDescent="0.3">
      <c r="A140" s="835"/>
      <c r="B140" s="201"/>
      <c r="C140" s="23" t="s">
        <v>256</v>
      </c>
      <c r="D140" s="885"/>
      <c r="E140" s="885"/>
      <c r="F140" s="888"/>
    </row>
    <row r="141" spans="1:6" ht="15" thickBot="1" x14ac:dyDescent="0.35">
      <c r="A141" s="836"/>
      <c r="B141" s="201"/>
      <c r="C141" s="23" t="s">
        <v>256</v>
      </c>
      <c r="D141" s="885"/>
      <c r="E141" s="885"/>
      <c r="F141" s="888"/>
    </row>
    <row r="142" spans="1:6" x14ac:dyDescent="0.3">
      <c r="A142" s="835"/>
      <c r="B142" s="201"/>
      <c r="C142" s="23" t="s">
        <v>256</v>
      </c>
      <c r="D142" s="885"/>
      <c r="E142" s="885"/>
      <c r="F142" s="841"/>
    </row>
    <row r="143" spans="1:6" ht="15" thickBot="1" x14ac:dyDescent="0.35">
      <c r="A143" s="836"/>
      <c r="B143" s="202"/>
      <c r="C143" s="203" t="s">
        <v>256</v>
      </c>
      <c r="D143" s="889"/>
      <c r="E143" s="889"/>
      <c r="F143" s="842"/>
    </row>
    <row r="144" spans="1:6" x14ac:dyDescent="0.3">
      <c r="A144" s="891"/>
      <c r="B144" s="223" t="s">
        <v>207</v>
      </c>
      <c r="C144" s="227" t="s">
        <v>179</v>
      </c>
      <c r="D144" s="894">
        <v>77</v>
      </c>
      <c r="E144" s="894">
        <v>20</v>
      </c>
      <c r="F144" s="895"/>
    </row>
    <row r="145" spans="1:6" ht="15" thickBot="1" x14ac:dyDescent="0.35">
      <c r="A145" s="893"/>
      <c r="B145" s="201" t="s">
        <v>208</v>
      </c>
      <c r="C145" s="189" t="s">
        <v>179</v>
      </c>
      <c r="D145" s="885"/>
      <c r="E145" s="885"/>
      <c r="F145" s="888"/>
    </row>
    <row r="146" spans="1:6" x14ac:dyDescent="0.3">
      <c r="A146" s="891"/>
      <c r="B146" s="201" t="s">
        <v>209</v>
      </c>
      <c r="C146" s="189" t="s">
        <v>158</v>
      </c>
      <c r="D146" s="885">
        <v>30</v>
      </c>
      <c r="E146" s="885" t="s">
        <v>211</v>
      </c>
      <c r="F146" s="888"/>
    </row>
    <row r="147" spans="1:6" ht="15" thickBot="1" x14ac:dyDescent="0.35">
      <c r="A147" s="893"/>
      <c r="B147" s="201" t="s">
        <v>210</v>
      </c>
      <c r="C147" s="189" t="s">
        <v>158</v>
      </c>
      <c r="D147" s="885"/>
      <c r="E147" s="885"/>
      <c r="F147" s="888"/>
    </row>
    <row r="148" spans="1:6" x14ac:dyDescent="0.3">
      <c r="A148" s="891"/>
      <c r="B148" s="201" t="s">
        <v>212</v>
      </c>
      <c r="C148" s="189" t="s">
        <v>158</v>
      </c>
      <c r="D148" s="885">
        <v>5</v>
      </c>
      <c r="E148" s="885" t="s">
        <v>214</v>
      </c>
      <c r="F148" s="888"/>
    </row>
    <row r="149" spans="1:6" ht="15" thickBot="1" x14ac:dyDescent="0.35">
      <c r="A149" s="892"/>
      <c r="B149" s="201" t="s">
        <v>213</v>
      </c>
      <c r="C149" s="189" t="s">
        <v>158</v>
      </c>
      <c r="D149" s="885"/>
      <c r="E149" s="885"/>
      <c r="F149" s="888"/>
    </row>
    <row r="150" spans="1:6" x14ac:dyDescent="0.3">
      <c r="A150" s="891"/>
      <c r="B150" s="201"/>
      <c r="C150" s="23" t="s">
        <v>261</v>
      </c>
      <c r="D150" s="885"/>
      <c r="E150" s="885"/>
      <c r="F150" s="888"/>
    </row>
    <row r="151" spans="1:6" ht="18.600000000000001" customHeight="1" thickBot="1" x14ac:dyDescent="0.35">
      <c r="A151" s="892"/>
      <c r="B151" s="201"/>
      <c r="C151" s="23" t="s">
        <v>261</v>
      </c>
      <c r="D151" s="885"/>
      <c r="E151" s="885"/>
      <c r="F151" s="888"/>
    </row>
    <row r="152" spans="1:6" x14ac:dyDescent="0.3">
      <c r="A152" s="891"/>
      <c r="B152" s="233"/>
      <c r="C152" s="22" t="s">
        <v>261</v>
      </c>
      <c r="D152" s="843"/>
      <c r="E152" s="843"/>
      <c r="F152" s="898"/>
    </row>
    <row r="153" spans="1:6" ht="15" thickBot="1" x14ac:dyDescent="0.35">
      <c r="A153" s="892"/>
      <c r="B153" s="202"/>
      <c r="C153" s="203" t="s">
        <v>261</v>
      </c>
      <c r="D153" s="889"/>
      <c r="E153" s="889"/>
      <c r="F153" s="842"/>
    </row>
    <row r="154" spans="1:6" ht="18" x14ac:dyDescent="0.35">
      <c r="A154" s="224"/>
      <c r="B154" s="224"/>
      <c r="C154" s="224"/>
      <c r="D154" s="224"/>
      <c r="E154" s="224"/>
      <c r="F154" s="224"/>
    </row>
    <row r="155" spans="1:6" ht="18" x14ac:dyDescent="0.35">
      <c r="A155" s="224"/>
      <c r="B155" s="224"/>
      <c r="C155" s="224"/>
      <c r="D155" s="224"/>
      <c r="E155" s="224"/>
      <c r="F155" s="224"/>
    </row>
    <row r="156" spans="1:6" x14ac:dyDescent="0.3">
      <c r="A156" s="195"/>
      <c r="B156" s="195"/>
      <c r="C156" s="195"/>
      <c r="D156" s="195"/>
      <c r="E156" s="195"/>
      <c r="F156" s="196"/>
    </row>
    <row r="157" spans="1:6" ht="15" customHeight="1" x14ac:dyDescent="0.3">
      <c r="A157" s="197"/>
      <c r="B157" s="193"/>
      <c r="C157" s="851"/>
      <c r="D157" s="851"/>
      <c r="E157" s="851"/>
      <c r="F157" s="851"/>
    </row>
    <row r="158" spans="1:6" ht="15" customHeight="1" x14ac:dyDescent="0.3">
      <c r="A158" s="197"/>
      <c r="B158" s="193"/>
      <c r="C158" s="851"/>
      <c r="D158" s="851"/>
      <c r="E158" s="851"/>
      <c r="F158" s="851"/>
    </row>
    <row r="159" spans="1:6" ht="15" customHeight="1" x14ac:dyDescent="0.3">
      <c r="A159" s="197"/>
      <c r="B159" s="193"/>
      <c r="C159" s="851"/>
      <c r="D159" s="851"/>
      <c r="E159" s="851"/>
      <c r="F159" s="851"/>
    </row>
    <row r="160" spans="1:6" ht="15" customHeight="1" x14ac:dyDescent="0.3">
      <c r="A160" s="197"/>
      <c r="B160" s="193"/>
      <c r="C160" s="851"/>
      <c r="D160" s="851"/>
      <c r="E160" s="851"/>
      <c r="F160" s="851"/>
    </row>
    <row r="161" spans="1:6" ht="15" customHeight="1" x14ac:dyDescent="0.3">
      <c r="A161" s="197"/>
      <c r="B161" s="193"/>
      <c r="C161" s="228"/>
      <c r="D161" s="228"/>
      <c r="E161" s="228"/>
      <c r="F161" s="228"/>
    </row>
    <row r="162" spans="1:6" ht="15" customHeight="1" x14ac:dyDescent="0.3">
      <c r="A162" s="197"/>
      <c r="B162" s="193"/>
      <c r="C162" s="228"/>
      <c r="D162" s="228"/>
      <c r="E162" s="228"/>
      <c r="F162" s="228"/>
    </row>
    <row r="163" spans="1:6" ht="15" customHeight="1" x14ac:dyDescent="0.3">
      <c r="A163" s="197"/>
      <c r="B163" s="193"/>
      <c r="C163" s="228"/>
      <c r="D163" s="228"/>
      <c r="E163" s="228"/>
      <c r="F163" s="228"/>
    </row>
    <row r="164" spans="1:6" ht="15" customHeight="1" x14ac:dyDescent="0.3">
      <c r="A164" s="197"/>
      <c r="B164" s="193"/>
      <c r="C164" s="228"/>
      <c r="D164" s="228"/>
      <c r="E164" s="228"/>
      <c r="F164" s="228"/>
    </row>
    <row r="165" spans="1:6" ht="15" customHeight="1" x14ac:dyDescent="0.3">
      <c r="A165" s="197"/>
      <c r="B165" s="193"/>
      <c r="C165" s="228"/>
      <c r="D165" s="228"/>
      <c r="E165" s="228"/>
      <c r="F165" s="228"/>
    </row>
    <row r="166" spans="1:6" ht="15" customHeight="1" x14ac:dyDescent="0.35">
      <c r="A166" s="850" t="s">
        <v>165</v>
      </c>
      <c r="B166" s="850"/>
      <c r="C166" s="850"/>
      <c r="D166" s="850"/>
      <c r="E166" s="850"/>
      <c r="F166" s="850"/>
    </row>
    <row r="167" spans="1:6" ht="15" customHeight="1" x14ac:dyDescent="0.35">
      <c r="A167" s="850" t="s">
        <v>218</v>
      </c>
      <c r="B167" s="850"/>
      <c r="C167" s="850"/>
      <c r="D167" s="850"/>
      <c r="E167" s="850"/>
      <c r="F167" s="850"/>
    </row>
    <row r="168" spans="1:6" ht="30" customHeight="1" thickBot="1" x14ac:dyDescent="0.35">
      <c r="A168" s="199" t="s">
        <v>36</v>
      </c>
      <c r="B168" s="199" t="s">
        <v>167</v>
      </c>
      <c r="C168" s="199" t="s">
        <v>159</v>
      </c>
      <c r="D168" s="199" t="s">
        <v>168</v>
      </c>
      <c r="E168" s="199" t="s">
        <v>161</v>
      </c>
      <c r="F168" s="199" t="s">
        <v>190</v>
      </c>
    </row>
    <row r="169" spans="1:6" ht="15" customHeight="1" x14ac:dyDescent="0.3">
      <c r="A169" s="835">
        <v>1</v>
      </c>
      <c r="B169" s="200" t="s">
        <v>219</v>
      </c>
      <c r="C169" s="227" t="s">
        <v>169</v>
      </c>
      <c r="D169" s="845">
        <v>13</v>
      </c>
      <c r="E169" s="845">
        <v>40</v>
      </c>
      <c r="F169" s="846"/>
    </row>
    <row r="170" spans="1:6" ht="15" customHeight="1" thickBot="1" x14ac:dyDescent="0.35">
      <c r="A170" s="836"/>
      <c r="B170" s="23" t="s">
        <v>220</v>
      </c>
      <c r="C170" s="189" t="s">
        <v>169</v>
      </c>
      <c r="D170" s="843"/>
      <c r="E170" s="843"/>
      <c r="F170" s="844"/>
    </row>
    <row r="171" spans="1:6" ht="15" customHeight="1" x14ac:dyDescent="0.3">
      <c r="A171" s="835">
        <v>2</v>
      </c>
      <c r="B171" s="23" t="s">
        <v>221</v>
      </c>
      <c r="C171" s="189" t="s">
        <v>170</v>
      </c>
      <c r="D171" s="839">
        <v>3</v>
      </c>
      <c r="E171" s="839" t="s">
        <v>223</v>
      </c>
      <c r="F171" s="841"/>
    </row>
    <row r="172" spans="1:6" ht="15" customHeight="1" thickBot="1" x14ac:dyDescent="0.35">
      <c r="A172" s="836"/>
      <c r="B172" s="23" t="s">
        <v>222</v>
      </c>
      <c r="C172" s="189" t="s">
        <v>170</v>
      </c>
      <c r="D172" s="843"/>
      <c r="E172" s="843"/>
      <c r="F172" s="844"/>
    </row>
    <row r="173" spans="1:6" ht="15" customHeight="1" x14ac:dyDescent="0.3">
      <c r="A173" s="835">
        <v>3</v>
      </c>
      <c r="B173" s="23" t="s">
        <v>224</v>
      </c>
      <c r="C173" s="189" t="s">
        <v>180</v>
      </c>
      <c r="D173" s="839">
        <v>25</v>
      </c>
      <c r="E173" s="847" t="s">
        <v>226</v>
      </c>
      <c r="F173" s="841"/>
    </row>
    <row r="174" spans="1:6" ht="15" customHeight="1" thickBot="1" x14ac:dyDescent="0.35">
      <c r="A174" s="836"/>
      <c r="B174" s="23" t="s">
        <v>225</v>
      </c>
      <c r="C174" s="189" t="s">
        <v>180</v>
      </c>
      <c r="D174" s="843"/>
      <c r="E174" s="848"/>
      <c r="F174" s="844"/>
    </row>
    <row r="175" spans="1:6" ht="15" customHeight="1" x14ac:dyDescent="0.3">
      <c r="A175" s="835">
        <v>4</v>
      </c>
      <c r="B175" s="23"/>
      <c r="C175" s="23" t="s">
        <v>262</v>
      </c>
      <c r="D175" s="839"/>
      <c r="E175" s="839"/>
      <c r="F175" s="841"/>
    </row>
    <row r="176" spans="1:6" ht="15" customHeight="1" thickBot="1" x14ac:dyDescent="0.35">
      <c r="A176" s="836"/>
      <c r="B176" s="23"/>
      <c r="C176" s="23" t="s">
        <v>262</v>
      </c>
      <c r="D176" s="843"/>
      <c r="E176" s="843"/>
      <c r="F176" s="844"/>
    </row>
    <row r="177" spans="1:6" ht="15" customHeight="1" x14ac:dyDescent="0.3">
      <c r="A177" s="835">
        <v>5</v>
      </c>
      <c r="B177" s="23"/>
      <c r="C177" s="23" t="s">
        <v>262</v>
      </c>
      <c r="D177" s="839"/>
      <c r="E177" s="839"/>
      <c r="F177" s="841"/>
    </row>
    <row r="178" spans="1:6" ht="15" customHeight="1" thickBot="1" x14ac:dyDescent="0.35">
      <c r="A178" s="836"/>
      <c r="B178" s="203"/>
      <c r="C178" s="203" t="s">
        <v>262</v>
      </c>
      <c r="D178" s="840"/>
      <c r="E178" s="840"/>
      <c r="F178" s="842"/>
    </row>
    <row r="179" spans="1:6" ht="15" customHeight="1" x14ac:dyDescent="0.3">
      <c r="A179" s="835">
        <v>6</v>
      </c>
      <c r="B179" s="223" t="s">
        <v>227</v>
      </c>
      <c r="C179" s="227" t="s">
        <v>171</v>
      </c>
      <c r="D179" s="845">
        <v>27</v>
      </c>
      <c r="E179" s="845">
        <v>40</v>
      </c>
      <c r="F179" s="846"/>
    </row>
    <row r="180" spans="1:6" ht="15" customHeight="1" thickBot="1" x14ac:dyDescent="0.35">
      <c r="A180" s="836"/>
      <c r="B180" s="201" t="s">
        <v>228</v>
      </c>
      <c r="C180" s="189" t="s">
        <v>171</v>
      </c>
      <c r="D180" s="843"/>
      <c r="E180" s="843"/>
      <c r="F180" s="844"/>
    </row>
    <row r="181" spans="1:6" ht="15" customHeight="1" x14ac:dyDescent="0.3">
      <c r="A181" s="835">
        <v>7</v>
      </c>
      <c r="B181" s="201" t="s">
        <v>230</v>
      </c>
      <c r="C181" s="189" t="s">
        <v>181</v>
      </c>
      <c r="D181" s="839">
        <v>7</v>
      </c>
      <c r="E181" s="839">
        <v>40</v>
      </c>
      <c r="F181" s="841"/>
    </row>
    <row r="182" spans="1:6" ht="15" customHeight="1" thickBot="1" x14ac:dyDescent="0.35">
      <c r="A182" s="836"/>
      <c r="B182" s="201" t="s">
        <v>231</v>
      </c>
      <c r="C182" s="189" t="s">
        <v>181</v>
      </c>
      <c r="D182" s="843"/>
      <c r="E182" s="843"/>
      <c r="F182" s="844"/>
    </row>
    <row r="183" spans="1:6" ht="15" customHeight="1" x14ac:dyDescent="0.3">
      <c r="A183" s="835">
        <v>8</v>
      </c>
      <c r="B183" s="201"/>
      <c r="C183" s="23" t="s">
        <v>229</v>
      </c>
      <c r="D183" s="839"/>
      <c r="E183" s="839"/>
      <c r="F183" s="841"/>
    </row>
    <row r="184" spans="1:6" ht="15" customHeight="1" thickBot="1" x14ac:dyDescent="0.35">
      <c r="A184" s="836"/>
      <c r="B184" s="201"/>
      <c r="C184" s="23" t="s">
        <v>229</v>
      </c>
      <c r="D184" s="843"/>
      <c r="E184" s="843"/>
      <c r="F184" s="844"/>
    </row>
    <row r="185" spans="1:6" ht="15" customHeight="1" x14ac:dyDescent="0.3">
      <c r="A185" s="835">
        <v>9</v>
      </c>
      <c r="B185" s="201"/>
      <c r="C185" s="23" t="s">
        <v>229</v>
      </c>
      <c r="D185" s="839"/>
      <c r="E185" s="839"/>
      <c r="F185" s="841"/>
    </row>
    <row r="186" spans="1:6" ht="15" customHeight="1" x14ac:dyDescent="0.3">
      <c r="A186" s="836"/>
      <c r="B186" s="201"/>
      <c r="C186" s="23" t="s">
        <v>229</v>
      </c>
      <c r="D186" s="843"/>
      <c r="E186" s="843"/>
      <c r="F186" s="844"/>
    </row>
    <row r="187" spans="1:6" ht="15" customHeight="1" x14ac:dyDescent="0.3">
      <c r="A187" s="837">
        <v>10</v>
      </c>
      <c r="B187" s="201"/>
      <c r="C187" s="23" t="s">
        <v>229</v>
      </c>
      <c r="D187" s="839"/>
      <c r="E187" s="839"/>
      <c r="F187" s="841"/>
    </row>
    <row r="188" spans="1:6" ht="15" customHeight="1" thickBot="1" x14ac:dyDescent="0.35">
      <c r="A188" s="838"/>
      <c r="B188" s="202"/>
      <c r="C188" s="203" t="s">
        <v>229</v>
      </c>
      <c r="D188" s="840"/>
      <c r="E188" s="840"/>
      <c r="F188" s="842"/>
    </row>
    <row r="189" spans="1:6" ht="15" customHeight="1" x14ac:dyDescent="0.3">
      <c r="A189" s="229"/>
      <c r="B189" s="193"/>
      <c r="C189" s="193"/>
      <c r="D189" s="193"/>
      <c r="E189" s="193"/>
      <c r="F189" s="193"/>
    </row>
    <row r="190" spans="1:6" ht="15" customHeight="1" x14ac:dyDescent="0.3">
      <c r="A190" s="229"/>
      <c r="B190" s="193"/>
      <c r="C190" s="193"/>
      <c r="D190" s="193"/>
      <c r="E190" s="193"/>
      <c r="F190" s="193"/>
    </row>
    <row r="191" spans="1:6" ht="15" customHeight="1" x14ac:dyDescent="0.3">
      <c r="A191" s="229"/>
      <c r="B191" s="193"/>
      <c r="C191" s="193"/>
      <c r="D191" s="193"/>
      <c r="E191" s="193"/>
      <c r="F191" s="193"/>
    </row>
    <row r="192" spans="1:6" ht="15" customHeight="1" x14ac:dyDescent="0.3">
      <c r="A192" s="229"/>
      <c r="B192" s="193"/>
      <c r="C192" s="193"/>
      <c r="D192" s="193"/>
      <c r="E192" s="193"/>
      <c r="F192" s="193"/>
    </row>
    <row r="193" spans="1:6" ht="15" customHeight="1" x14ac:dyDescent="0.3">
      <c r="A193" s="229"/>
      <c r="B193" s="193"/>
      <c r="C193" s="193"/>
      <c r="D193" s="193"/>
      <c r="E193" s="193"/>
      <c r="F193" s="193"/>
    </row>
    <row r="194" spans="1:6" x14ac:dyDescent="0.3">
      <c r="A194" s="229"/>
      <c r="B194" s="193"/>
      <c r="C194" s="193"/>
      <c r="D194" s="193"/>
      <c r="E194" s="193"/>
      <c r="F194" s="193"/>
    </row>
    <row r="195" spans="1:6" x14ac:dyDescent="0.3">
      <c r="A195" s="197"/>
      <c r="B195" s="193"/>
      <c r="C195" s="193"/>
      <c r="D195" s="193"/>
      <c r="E195" s="193"/>
      <c r="F195" s="193"/>
    </row>
    <row r="196" spans="1:6" x14ac:dyDescent="0.3">
      <c r="A196" s="197"/>
      <c r="B196" s="193"/>
      <c r="C196" s="193"/>
      <c r="D196" s="193"/>
      <c r="E196" s="193"/>
      <c r="F196" s="193"/>
    </row>
    <row r="197" spans="1:6" x14ac:dyDescent="0.3">
      <c r="A197" s="197"/>
      <c r="B197" s="193"/>
      <c r="C197" s="193"/>
      <c r="D197" s="193"/>
      <c r="E197" s="193"/>
      <c r="F197" s="193"/>
    </row>
    <row r="198" spans="1:6" x14ac:dyDescent="0.3">
      <c r="A198" s="197"/>
      <c r="B198" s="193"/>
      <c r="C198" s="193"/>
      <c r="D198" s="193"/>
      <c r="E198" s="193"/>
      <c r="F198" s="193"/>
    </row>
    <row r="199" spans="1:6" x14ac:dyDescent="0.3">
      <c r="A199" s="197"/>
      <c r="B199" s="193"/>
      <c r="C199" s="193"/>
      <c r="D199" s="193"/>
      <c r="E199" s="193"/>
      <c r="F199" s="193"/>
    </row>
    <row r="200" spans="1:6" x14ac:dyDescent="0.3">
      <c r="A200" s="197"/>
      <c r="B200" s="193"/>
      <c r="C200" s="193"/>
      <c r="D200" s="193"/>
      <c r="E200" s="193"/>
      <c r="F200" s="193"/>
    </row>
    <row r="201" spans="1:6" x14ac:dyDescent="0.3">
      <c r="A201" s="197"/>
      <c r="B201" s="193"/>
      <c r="C201" s="193"/>
      <c r="D201" s="193"/>
      <c r="E201" s="193"/>
      <c r="F201" s="193"/>
    </row>
    <row r="202" spans="1:6" x14ac:dyDescent="0.3">
      <c r="A202" s="197"/>
      <c r="B202" s="193"/>
      <c r="C202" s="193"/>
      <c r="D202" s="193"/>
      <c r="E202" s="193"/>
      <c r="F202" s="193"/>
    </row>
    <row r="203" spans="1:6" x14ac:dyDescent="0.3">
      <c r="A203" s="197"/>
      <c r="B203" s="193"/>
      <c r="C203" s="193"/>
      <c r="D203" s="193"/>
      <c r="E203" s="193"/>
      <c r="F203" s="193"/>
    </row>
    <row r="204" spans="1:6" x14ac:dyDescent="0.3">
      <c r="A204" s="197"/>
      <c r="B204" s="193"/>
      <c r="C204" s="193"/>
      <c r="D204" s="193"/>
      <c r="E204" s="193"/>
      <c r="F204" s="193"/>
    </row>
    <row r="205" spans="1:6" x14ac:dyDescent="0.3">
      <c r="A205" s="197"/>
      <c r="B205" s="193"/>
      <c r="C205" s="193"/>
      <c r="D205" s="193"/>
      <c r="E205" s="193"/>
      <c r="F205" s="193"/>
    </row>
    <row r="208" spans="1:6" ht="18" x14ac:dyDescent="0.35">
      <c r="A208" s="850" t="s">
        <v>165</v>
      </c>
      <c r="B208" s="850"/>
      <c r="C208" s="850"/>
      <c r="D208" s="850"/>
      <c r="E208" s="850"/>
      <c r="F208" s="850"/>
    </row>
    <row r="209" spans="1:6" ht="18" x14ac:dyDescent="0.35">
      <c r="A209" s="850" t="s">
        <v>232</v>
      </c>
      <c r="B209" s="850"/>
      <c r="C209" s="850"/>
      <c r="D209" s="850"/>
      <c r="E209" s="850"/>
      <c r="F209" s="850"/>
    </row>
    <row r="210" spans="1:6" ht="43.8" thickBot="1" x14ac:dyDescent="0.35">
      <c r="A210" s="199" t="s">
        <v>36</v>
      </c>
      <c r="B210" s="199" t="s">
        <v>167</v>
      </c>
      <c r="C210" s="199" t="s">
        <v>159</v>
      </c>
      <c r="D210" s="199" t="s">
        <v>168</v>
      </c>
      <c r="E210" s="199" t="s">
        <v>161</v>
      </c>
      <c r="F210" s="199" t="s">
        <v>190</v>
      </c>
    </row>
    <row r="211" spans="1:6" x14ac:dyDescent="0.3">
      <c r="A211" s="835">
        <v>1</v>
      </c>
      <c r="B211" s="223" t="s">
        <v>233</v>
      </c>
      <c r="C211" s="226" t="s">
        <v>173</v>
      </c>
      <c r="D211" s="845">
        <v>10</v>
      </c>
      <c r="E211" s="845">
        <v>40</v>
      </c>
      <c r="F211" s="846"/>
    </row>
    <row r="212" spans="1:6" ht="15" thickBot="1" x14ac:dyDescent="0.35">
      <c r="A212" s="836"/>
      <c r="B212" s="201" t="s">
        <v>234</v>
      </c>
      <c r="C212" s="232" t="s">
        <v>173</v>
      </c>
      <c r="D212" s="843"/>
      <c r="E212" s="843"/>
      <c r="F212" s="844"/>
    </row>
    <row r="213" spans="1:6" x14ac:dyDescent="0.3">
      <c r="A213" s="835">
        <v>2</v>
      </c>
      <c r="B213" s="201" t="s">
        <v>235</v>
      </c>
      <c r="C213" s="232" t="s">
        <v>173</v>
      </c>
      <c r="D213" s="839">
        <v>24</v>
      </c>
      <c r="E213" s="839"/>
      <c r="F213" s="841"/>
    </row>
    <row r="214" spans="1:6" ht="15" thickBot="1" x14ac:dyDescent="0.35">
      <c r="A214" s="836"/>
      <c r="B214" s="201" t="s">
        <v>236</v>
      </c>
      <c r="C214" s="232" t="s">
        <v>173</v>
      </c>
      <c r="D214" s="843"/>
      <c r="E214" s="843"/>
      <c r="F214" s="844"/>
    </row>
    <row r="215" spans="1:6" x14ac:dyDescent="0.3">
      <c r="A215" s="835">
        <v>3</v>
      </c>
      <c r="B215" s="201" t="s">
        <v>237</v>
      </c>
      <c r="C215" s="232" t="s">
        <v>182</v>
      </c>
      <c r="D215" s="839">
        <v>36</v>
      </c>
      <c r="E215" s="839">
        <v>40</v>
      </c>
      <c r="F215" s="841"/>
    </row>
    <row r="216" spans="1:6" ht="15" thickBot="1" x14ac:dyDescent="0.35">
      <c r="A216" s="836"/>
      <c r="B216" s="201" t="s">
        <v>238</v>
      </c>
      <c r="C216" s="232" t="s">
        <v>182</v>
      </c>
      <c r="D216" s="843"/>
      <c r="E216" s="843"/>
      <c r="F216" s="844"/>
    </row>
    <row r="217" spans="1:6" x14ac:dyDescent="0.3">
      <c r="A217" s="835">
        <v>4</v>
      </c>
      <c r="B217" s="201"/>
      <c r="C217" s="23" t="s">
        <v>265</v>
      </c>
      <c r="D217" s="839"/>
      <c r="E217" s="839"/>
      <c r="F217" s="841"/>
    </row>
    <row r="218" spans="1:6" ht="15" thickBot="1" x14ac:dyDescent="0.35">
      <c r="A218" s="836"/>
      <c r="B218" s="201"/>
      <c r="C218" s="23" t="s">
        <v>265</v>
      </c>
      <c r="D218" s="843"/>
      <c r="E218" s="843"/>
      <c r="F218" s="844"/>
    </row>
    <row r="219" spans="1:6" x14ac:dyDescent="0.3">
      <c r="A219" s="835">
        <v>5</v>
      </c>
      <c r="B219" s="201"/>
      <c r="C219" s="23" t="s">
        <v>265</v>
      </c>
      <c r="D219" s="839"/>
      <c r="E219" s="839"/>
      <c r="F219" s="841"/>
    </row>
    <row r="220" spans="1:6" ht="15" thickBot="1" x14ac:dyDescent="0.35">
      <c r="A220" s="836"/>
      <c r="B220" s="202"/>
      <c r="C220" s="203" t="s">
        <v>265</v>
      </c>
      <c r="D220" s="840"/>
      <c r="E220" s="840"/>
      <c r="F220" s="842"/>
    </row>
    <row r="221" spans="1:6" x14ac:dyDescent="0.3">
      <c r="A221" s="835">
        <v>6</v>
      </c>
      <c r="B221" s="223" t="s">
        <v>239</v>
      </c>
      <c r="C221" s="227" t="s">
        <v>175</v>
      </c>
      <c r="D221" s="845">
        <v>95</v>
      </c>
      <c r="E221" s="845">
        <v>40</v>
      </c>
      <c r="F221" s="846"/>
    </row>
    <row r="222" spans="1:6" ht="15" thickBot="1" x14ac:dyDescent="0.35">
      <c r="A222" s="836"/>
      <c r="B222" s="201" t="s">
        <v>240</v>
      </c>
      <c r="C222" s="189" t="s">
        <v>175</v>
      </c>
      <c r="D222" s="843"/>
      <c r="E222" s="843"/>
      <c r="F222" s="844"/>
    </row>
    <row r="223" spans="1:6" x14ac:dyDescent="0.3">
      <c r="A223" s="835">
        <v>7</v>
      </c>
      <c r="B223" s="201" t="s">
        <v>241</v>
      </c>
      <c r="C223" s="189" t="s">
        <v>176</v>
      </c>
      <c r="D223" s="839">
        <v>78</v>
      </c>
      <c r="E223" s="839" t="s">
        <v>243</v>
      </c>
      <c r="F223" s="841"/>
    </row>
    <row r="224" spans="1:6" ht="15" thickBot="1" x14ac:dyDescent="0.35">
      <c r="A224" s="836"/>
      <c r="B224" s="201" t="s">
        <v>242</v>
      </c>
      <c r="C224" s="189" t="s">
        <v>176</v>
      </c>
      <c r="D224" s="843"/>
      <c r="E224" s="843"/>
      <c r="F224" s="844"/>
    </row>
    <row r="225" spans="1:6" x14ac:dyDescent="0.3">
      <c r="A225" s="835">
        <v>8</v>
      </c>
      <c r="B225" s="201" t="s">
        <v>244</v>
      </c>
      <c r="C225" s="189" t="s">
        <v>176</v>
      </c>
      <c r="D225" s="839">
        <v>50</v>
      </c>
      <c r="E225" s="839">
        <v>40</v>
      </c>
      <c r="F225" s="841"/>
    </row>
    <row r="226" spans="1:6" ht="15" thickBot="1" x14ac:dyDescent="0.35">
      <c r="A226" s="836"/>
      <c r="B226" s="201" t="s">
        <v>245</v>
      </c>
      <c r="C226" s="189" t="s">
        <v>176</v>
      </c>
      <c r="D226" s="843"/>
      <c r="E226" s="843"/>
      <c r="F226" s="844"/>
    </row>
    <row r="227" spans="1:6" x14ac:dyDescent="0.3">
      <c r="A227" s="835">
        <v>9</v>
      </c>
      <c r="B227" s="201" t="s">
        <v>247</v>
      </c>
      <c r="C227" s="189" t="s">
        <v>183</v>
      </c>
      <c r="D227" s="839">
        <v>21</v>
      </c>
      <c r="E227" s="839">
        <v>40</v>
      </c>
      <c r="F227" s="841"/>
    </row>
    <row r="228" spans="1:6" x14ac:dyDescent="0.3">
      <c r="A228" s="836"/>
      <c r="B228" s="201" t="s">
        <v>248</v>
      </c>
      <c r="C228" s="189" t="s">
        <v>183</v>
      </c>
      <c r="D228" s="843"/>
      <c r="E228" s="843"/>
      <c r="F228" s="844"/>
    </row>
    <row r="229" spans="1:6" x14ac:dyDescent="0.3">
      <c r="A229" s="837">
        <v>10</v>
      </c>
      <c r="B229" s="201"/>
      <c r="C229" s="23" t="s">
        <v>246</v>
      </c>
      <c r="D229" s="839"/>
      <c r="E229" s="839"/>
      <c r="F229" s="841"/>
    </row>
    <row r="230" spans="1:6" ht="15" thickBot="1" x14ac:dyDescent="0.35">
      <c r="A230" s="838"/>
      <c r="B230" s="202"/>
      <c r="C230" s="212" t="s">
        <v>246</v>
      </c>
      <c r="D230" s="840"/>
      <c r="E230" s="840"/>
      <c r="F230" s="842"/>
    </row>
    <row r="250" spans="1:6" ht="18" x14ac:dyDescent="0.35">
      <c r="A250" s="850" t="s">
        <v>165</v>
      </c>
      <c r="B250" s="850"/>
      <c r="C250" s="850"/>
      <c r="D250" s="850"/>
      <c r="E250" s="850"/>
      <c r="F250" s="850"/>
    </row>
    <row r="251" spans="1:6" ht="18" x14ac:dyDescent="0.35">
      <c r="A251" s="850" t="s">
        <v>249</v>
      </c>
      <c r="B251" s="850"/>
      <c r="C251" s="850"/>
      <c r="D251" s="850"/>
      <c r="E251" s="850"/>
      <c r="F251" s="850"/>
    </row>
    <row r="252" spans="1:6" ht="43.8" thickBot="1" x14ac:dyDescent="0.35">
      <c r="A252" s="199" t="s">
        <v>36</v>
      </c>
      <c r="B252" s="199" t="s">
        <v>167</v>
      </c>
      <c r="C252" s="199" t="s">
        <v>159</v>
      </c>
      <c r="D252" s="199" t="s">
        <v>168</v>
      </c>
      <c r="E252" s="199" t="s">
        <v>161</v>
      </c>
      <c r="F252" s="199" t="s">
        <v>190</v>
      </c>
    </row>
    <row r="253" spans="1:6" x14ac:dyDescent="0.3">
      <c r="A253" s="835">
        <v>1</v>
      </c>
      <c r="B253" s="200" t="s">
        <v>250</v>
      </c>
      <c r="C253" s="230" t="s">
        <v>184</v>
      </c>
      <c r="D253" s="845">
        <v>4</v>
      </c>
      <c r="E253" s="845"/>
      <c r="F253" s="846"/>
    </row>
    <row r="254" spans="1:6" ht="15" thickBot="1" x14ac:dyDescent="0.35">
      <c r="A254" s="836"/>
      <c r="B254" s="64" t="s">
        <v>251</v>
      </c>
      <c r="C254" s="189" t="s">
        <v>184</v>
      </c>
      <c r="D254" s="897"/>
      <c r="E254" s="843"/>
      <c r="F254" s="844"/>
    </row>
    <row r="255" spans="1:6" x14ac:dyDescent="0.3">
      <c r="A255" s="835">
        <v>2</v>
      </c>
      <c r="B255" s="64" t="s">
        <v>253</v>
      </c>
      <c r="C255" s="189" t="s">
        <v>184</v>
      </c>
      <c r="D255" s="896">
        <v>6</v>
      </c>
      <c r="E255" s="899" t="s">
        <v>252</v>
      </c>
      <c r="F255" s="841"/>
    </row>
    <row r="256" spans="1:6" ht="15" thickBot="1" x14ac:dyDescent="0.35">
      <c r="A256" s="836"/>
      <c r="B256" s="64" t="s">
        <v>254</v>
      </c>
      <c r="C256" s="189" t="s">
        <v>184</v>
      </c>
      <c r="D256" s="897"/>
      <c r="E256" s="900"/>
      <c r="F256" s="844"/>
    </row>
    <row r="257" spans="1:6" x14ac:dyDescent="0.3">
      <c r="A257" s="835">
        <v>3</v>
      </c>
      <c r="B257" s="64"/>
      <c r="C257" s="231" t="s">
        <v>255</v>
      </c>
      <c r="D257" s="896"/>
      <c r="E257" s="839"/>
      <c r="F257" s="841"/>
    </row>
    <row r="258" spans="1:6" ht="15" thickBot="1" x14ac:dyDescent="0.35">
      <c r="A258" s="836"/>
      <c r="B258" s="64"/>
      <c r="C258" s="231" t="s">
        <v>256</v>
      </c>
      <c r="D258" s="897"/>
      <c r="E258" s="843"/>
      <c r="F258" s="844"/>
    </row>
    <row r="259" spans="1:6" x14ac:dyDescent="0.3">
      <c r="A259" s="835">
        <v>4</v>
      </c>
      <c r="B259" s="23"/>
      <c r="C259" s="231" t="s">
        <v>255</v>
      </c>
      <c r="D259" s="839"/>
      <c r="E259" s="839"/>
      <c r="F259" s="841"/>
    </row>
    <row r="260" spans="1:6" ht="15" thickBot="1" x14ac:dyDescent="0.35">
      <c r="A260" s="836"/>
      <c r="B260" s="23"/>
      <c r="C260" s="231" t="s">
        <v>256</v>
      </c>
      <c r="D260" s="843"/>
      <c r="E260" s="843"/>
      <c r="F260" s="844"/>
    </row>
    <row r="261" spans="1:6" x14ac:dyDescent="0.3">
      <c r="A261" s="835">
        <v>5</v>
      </c>
      <c r="B261" s="23"/>
      <c r="C261" s="231" t="s">
        <v>255</v>
      </c>
      <c r="D261" s="839"/>
      <c r="E261" s="839"/>
      <c r="F261" s="841"/>
    </row>
    <row r="262" spans="1:6" ht="15" thickBot="1" x14ac:dyDescent="0.35">
      <c r="A262" s="836"/>
      <c r="B262" s="203"/>
      <c r="C262" s="231" t="s">
        <v>256</v>
      </c>
      <c r="D262" s="840"/>
      <c r="E262" s="840"/>
      <c r="F262" s="842"/>
    </row>
    <row r="263" spans="1:6" x14ac:dyDescent="0.3">
      <c r="A263" s="835">
        <v>6</v>
      </c>
      <c r="B263" s="223" t="s">
        <v>257</v>
      </c>
      <c r="C263" s="230" t="s">
        <v>179</v>
      </c>
      <c r="D263" s="845">
        <v>23</v>
      </c>
      <c r="E263" s="845"/>
      <c r="F263" s="846"/>
    </row>
    <row r="264" spans="1:6" ht="15" thickBot="1" x14ac:dyDescent="0.35">
      <c r="A264" s="836"/>
      <c r="B264" s="201" t="s">
        <v>258</v>
      </c>
      <c r="C264" s="189" t="s">
        <v>179</v>
      </c>
      <c r="D264" s="843"/>
      <c r="E264" s="843"/>
      <c r="F264" s="844"/>
    </row>
    <row r="265" spans="1:6" x14ac:dyDescent="0.3">
      <c r="A265" s="835">
        <v>7</v>
      </c>
      <c r="B265" s="201" t="s">
        <v>259</v>
      </c>
      <c r="C265" s="1" t="s">
        <v>158</v>
      </c>
      <c r="D265" s="839">
        <v>2</v>
      </c>
      <c r="E265" s="839">
        <v>40</v>
      </c>
      <c r="F265" s="841"/>
    </row>
    <row r="266" spans="1:6" ht="15" thickBot="1" x14ac:dyDescent="0.35">
      <c r="A266" s="836"/>
      <c r="B266" s="201" t="s">
        <v>260</v>
      </c>
      <c r="C266" s="1" t="s">
        <v>158</v>
      </c>
      <c r="D266" s="843"/>
      <c r="E266" s="843"/>
      <c r="F266" s="844"/>
    </row>
    <row r="267" spans="1:6" x14ac:dyDescent="0.3">
      <c r="A267" s="835">
        <v>8</v>
      </c>
      <c r="B267" s="201"/>
      <c r="C267" s="128" t="s">
        <v>261</v>
      </c>
      <c r="D267" s="839"/>
      <c r="E267" s="839"/>
      <c r="F267" s="841"/>
    </row>
    <row r="268" spans="1:6" ht="15" thickBot="1" x14ac:dyDescent="0.35">
      <c r="A268" s="836"/>
      <c r="B268" s="201"/>
      <c r="C268" s="128" t="s">
        <v>261</v>
      </c>
      <c r="D268" s="843"/>
      <c r="E268" s="843"/>
      <c r="F268" s="844"/>
    </row>
    <row r="269" spans="1:6" x14ac:dyDescent="0.3">
      <c r="A269" s="835">
        <v>9</v>
      </c>
      <c r="B269" s="201"/>
      <c r="C269" s="128" t="s">
        <v>261</v>
      </c>
      <c r="D269" s="839"/>
      <c r="E269" s="839"/>
      <c r="F269" s="841"/>
    </row>
    <row r="270" spans="1:6" x14ac:dyDescent="0.3">
      <c r="A270" s="836"/>
      <c r="B270" s="201"/>
      <c r="C270" s="128" t="s">
        <v>261</v>
      </c>
      <c r="D270" s="843"/>
      <c r="E270" s="843"/>
      <c r="F270" s="844"/>
    </row>
    <row r="271" spans="1:6" x14ac:dyDescent="0.3">
      <c r="A271" s="837">
        <v>10</v>
      </c>
      <c r="B271" s="201"/>
      <c r="C271" s="128" t="s">
        <v>261</v>
      </c>
      <c r="D271" s="839"/>
      <c r="E271" s="839"/>
      <c r="F271" s="841"/>
    </row>
    <row r="272" spans="1:6" ht="15" thickBot="1" x14ac:dyDescent="0.35">
      <c r="A272" s="838"/>
      <c r="B272" s="202"/>
      <c r="C272" s="218" t="s">
        <v>261</v>
      </c>
      <c r="D272" s="840"/>
      <c r="E272" s="840"/>
      <c r="F272" s="842"/>
    </row>
    <row r="291" spans="1:6" ht="18" x14ac:dyDescent="0.35">
      <c r="A291" s="850" t="s">
        <v>165</v>
      </c>
      <c r="B291" s="850"/>
      <c r="C291" s="850"/>
      <c r="D291" s="850"/>
      <c r="E291" s="850"/>
      <c r="F291" s="850"/>
    </row>
    <row r="292" spans="1:6" ht="18" x14ac:dyDescent="0.35">
      <c r="A292" s="850" t="s">
        <v>270</v>
      </c>
      <c r="B292" s="850"/>
      <c r="C292" s="850"/>
      <c r="D292" s="850"/>
      <c r="E292" s="850"/>
      <c r="F292" s="850"/>
    </row>
    <row r="293" spans="1:6" ht="43.8" thickBot="1" x14ac:dyDescent="0.35">
      <c r="A293" s="902" t="s">
        <v>36</v>
      </c>
      <c r="B293" s="199" t="s">
        <v>167</v>
      </c>
      <c r="C293" s="199" t="s">
        <v>159</v>
      </c>
      <c r="D293" s="199" t="s">
        <v>168</v>
      </c>
      <c r="E293" s="199" t="s">
        <v>161</v>
      </c>
      <c r="F293" s="199" t="s">
        <v>190</v>
      </c>
    </row>
    <row r="294" spans="1:6" ht="15" thickBot="1" x14ac:dyDescent="0.35">
      <c r="A294" s="903"/>
      <c r="B294" s="904" t="s">
        <v>278</v>
      </c>
      <c r="C294" s="905"/>
      <c r="D294" s="905"/>
      <c r="E294" s="905"/>
      <c r="F294" s="906"/>
    </row>
    <row r="295" spans="1:6" x14ac:dyDescent="0.3">
      <c r="A295" s="835">
        <v>1</v>
      </c>
      <c r="B295" s="200" t="s">
        <v>271</v>
      </c>
      <c r="C295" s="253" t="s">
        <v>177</v>
      </c>
      <c r="D295" s="845">
        <v>16</v>
      </c>
      <c r="E295" s="845">
        <v>30</v>
      </c>
      <c r="F295" s="846"/>
    </row>
    <row r="296" spans="1:6" ht="15" thickBot="1" x14ac:dyDescent="0.35">
      <c r="A296" s="836"/>
      <c r="B296" s="64" t="s">
        <v>272</v>
      </c>
      <c r="C296" s="252" t="s">
        <v>177</v>
      </c>
      <c r="D296" s="897"/>
      <c r="E296" s="843"/>
      <c r="F296" s="844"/>
    </row>
    <row r="297" spans="1:6" x14ac:dyDescent="0.3">
      <c r="A297" s="835">
        <v>2</v>
      </c>
      <c r="B297" s="64" t="s">
        <v>273</v>
      </c>
      <c r="C297" s="252" t="s">
        <v>177</v>
      </c>
      <c r="D297" s="896">
        <v>45</v>
      </c>
      <c r="E297" s="839">
        <v>30</v>
      </c>
      <c r="F297" s="841"/>
    </row>
    <row r="298" spans="1:6" ht="15" thickBot="1" x14ac:dyDescent="0.35">
      <c r="A298" s="836"/>
      <c r="B298" s="64" t="s">
        <v>274</v>
      </c>
      <c r="C298" s="254" t="s">
        <v>177</v>
      </c>
      <c r="D298" s="897"/>
      <c r="E298" s="843"/>
      <c r="F298" s="844"/>
    </row>
    <row r="299" spans="1:6" x14ac:dyDescent="0.3">
      <c r="A299" s="835">
        <v>3</v>
      </c>
      <c r="B299" s="64"/>
      <c r="C299" s="252" t="s">
        <v>275</v>
      </c>
      <c r="D299" s="896">
        <v>2</v>
      </c>
      <c r="E299" s="839">
        <v>40</v>
      </c>
      <c r="F299" s="841"/>
    </row>
    <row r="300" spans="1:6" ht="15" thickBot="1" x14ac:dyDescent="0.35">
      <c r="A300" s="836"/>
      <c r="B300" s="64"/>
      <c r="C300" s="252" t="s">
        <v>275</v>
      </c>
      <c r="D300" s="897"/>
      <c r="E300" s="843"/>
      <c r="F300" s="844"/>
    </row>
    <row r="301" spans="1:6" x14ac:dyDescent="0.3">
      <c r="A301" s="835">
        <v>4</v>
      </c>
      <c r="B301" s="23"/>
      <c r="C301" s="231"/>
      <c r="D301" s="839"/>
      <c r="E301" s="839"/>
      <c r="F301" s="841"/>
    </row>
    <row r="302" spans="1:6" ht="15" thickBot="1" x14ac:dyDescent="0.35">
      <c r="A302" s="836"/>
      <c r="B302" s="23"/>
      <c r="C302" s="231"/>
      <c r="D302" s="843"/>
      <c r="E302" s="843"/>
      <c r="F302" s="844"/>
    </row>
    <row r="303" spans="1:6" x14ac:dyDescent="0.3">
      <c r="A303" s="835">
        <v>5</v>
      </c>
      <c r="B303" s="23"/>
      <c r="C303" s="231"/>
      <c r="D303" s="839"/>
      <c r="E303" s="839"/>
      <c r="F303" s="841"/>
    </row>
    <row r="304" spans="1:6" ht="15" thickBot="1" x14ac:dyDescent="0.35">
      <c r="A304" s="836"/>
      <c r="B304" s="104"/>
      <c r="C304" s="255"/>
      <c r="D304" s="901"/>
      <c r="E304" s="901"/>
      <c r="F304" s="898"/>
    </row>
    <row r="305" spans="1:6" ht="18.600000000000001" customHeight="1" thickBot="1" x14ac:dyDescent="0.35">
      <c r="A305" s="236"/>
      <c r="B305" s="907" t="s">
        <v>279</v>
      </c>
      <c r="C305" s="908"/>
      <c r="D305" s="908"/>
      <c r="E305" s="908"/>
      <c r="F305" s="909"/>
    </row>
    <row r="306" spans="1:6" x14ac:dyDescent="0.3">
      <c r="A306" s="835">
        <v>6</v>
      </c>
      <c r="B306" s="223" t="s">
        <v>276</v>
      </c>
      <c r="C306" s="230" t="s">
        <v>177</v>
      </c>
      <c r="D306" s="845"/>
      <c r="E306" s="845"/>
      <c r="F306" s="846"/>
    </row>
    <row r="307" spans="1:6" ht="15" thickBot="1" x14ac:dyDescent="0.35">
      <c r="A307" s="836"/>
      <c r="B307" s="201" t="s">
        <v>277</v>
      </c>
      <c r="C307" s="189"/>
      <c r="D307" s="843"/>
      <c r="E307" s="843"/>
      <c r="F307" s="844"/>
    </row>
    <row r="308" spans="1:6" x14ac:dyDescent="0.3">
      <c r="A308" s="835">
        <v>7</v>
      </c>
      <c r="B308" s="201"/>
      <c r="C308" s="1"/>
      <c r="D308" s="839"/>
      <c r="E308" s="839"/>
      <c r="F308" s="841"/>
    </row>
    <row r="309" spans="1:6" ht="15" thickBot="1" x14ac:dyDescent="0.35">
      <c r="A309" s="836"/>
      <c r="B309" s="201"/>
      <c r="C309" s="1"/>
      <c r="D309" s="843"/>
      <c r="E309" s="843"/>
      <c r="F309" s="844"/>
    </row>
    <row r="310" spans="1:6" x14ac:dyDescent="0.3">
      <c r="A310" s="835">
        <v>8</v>
      </c>
      <c r="B310" s="201"/>
      <c r="C310" s="128"/>
      <c r="D310" s="839"/>
      <c r="E310" s="839"/>
      <c r="F310" s="841"/>
    </row>
    <row r="311" spans="1:6" ht="15" thickBot="1" x14ac:dyDescent="0.35">
      <c r="A311" s="836"/>
      <c r="B311" s="201"/>
      <c r="C311" s="128"/>
      <c r="D311" s="843"/>
      <c r="E311" s="843"/>
      <c r="F311" s="844"/>
    </row>
    <row r="312" spans="1:6" x14ac:dyDescent="0.3">
      <c r="A312" s="835">
        <v>9</v>
      </c>
      <c r="B312" s="201"/>
      <c r="C312" s="128"/>
      <c r="D312" s="839"/>
      <c r="E312" s="839"/>
      <c r="F312" s="841"/>
    </row>
    <row r="313" spans="1:6" x14ac:dyDescent="0.3">
      <c r="A313" s="836"/>
      <c r="B313" s="201"/>
      <c r="C313" s="128"/>
      <c r="D313" s="843"/>
      <c r="E313" s="843"/>
      <c r="F313" s="844"/>
    </row>
    <row r="314" spans="1:6" x14ac:dyDescent="0.3">
      <c r="A314" s="837">
        <v>10</v>
      </c>
      <c r="B314" s="201"/>
      <c r="C314" s="128"/>
      <c r="D314" s="839"/>
      <c r="E314" s="839"/>
      <c r="F314" s="841"/>
    </row>
    <row r="315" spans="1:6" ht="15" thickBot="1" x14ac:dyDescent="0.35">
      <c r="A315" s="838"/>
      <c r="B315" s="202"/>
      <c r="C315" s="218"/>
      <c r="D315" s="840"/>
      <c r="E315" s="840"/>
      <c r="F315" s="842"/>
    </row>
  </sheetData>
  <mergeCells count="328">
    <mergeCell ref="A312:A313"/>
    <mergeCell ref="D312:D313"/>
    <mergeCell ref="E312:E313"/>
    <mergeCell ref="F312:F313"/>
    <mergeCell ref="A314:A315"/>
    <mergeCell ref="D314:D315"/>
    <mergeCell ref="E314:E315"/>
    <mergeCell ref="F314:F315"/>
    <mergeCell ref="A293:A294"/>
    <mergeCell ref="B294:F294"/>
    <mergeCell ref="B305:F305"/>
    <mergeCell ref="A306:A307"/>
    <mergeCell ref="D306:D307"/>
    <mergeCell ref="E306:E307"/>
    <mergeCell ref="F306:F307"/>
    <mergeCell ref="A308:A309"/>
    <mergeCell ref="D308:D309"/>
    <mergeCell ref="E308:E309"/>
    <mergeCell ref="F308:F309"/>
    <mergeCell ref="A310:A311"/>
    <mergeCell ref="D310:D311"/>
    <mergeCell ref="E310:E311"/>
    <mergeCell ref="F310:F311"/>
    <mergeCell ref="A299:A300"/>
    <mergeCell ref="D299:D300"/>
    <mergeCell ref="E299:E300"/>
    <mergeCell ref="F299:F300"/>
    <mergeCell ref="A301:A302"/>
    <mergeCell ref="D301:D302"/>
    <mergeCell ref="E301:E302"/>
    <mergeCell ref="F301:F302"/>
    <mergeCell ref="A303:A304"/>
    <mergeCell ref="D303:D304"/>
    <mergeCell ref="E303:E304"/>
    <mergeCell ref="F303:F304"/>
    <mergeCell ref="A291:F291"/>
    <mergeCell ref="A292:F292"/>
    <mergeCell ref="A295:A296"/>
    <mergeCell ref="D295:D296"/>
    <mergeCell ref="E295:E296"/>
    <mergeCell ref="F295:F296"/>
    <mergeCell ref="A297:A298"/>
    <mergeCell ref="D297:D298"/>
    <mergeCell ref="E297:E298"/>
    <mergeCell ref="F297:F298"/>
    <mergeCell ref="F150:F151"/>
    <mergeCell ref="F152:F153"/>
    <mergeCell ref="A269:A270"/>
    <mergeCell ref="D269:D270"/>
    <mergeCell ref="E269:E270"/>
    <mergeCell ref="F269:F270"/>
    <mergeCell ref="D259:D260"/>
    <mergeCell ref="E259:E260"/>
    <mergeCell ref="F259:F260"/>
    <mergeCell ref="A261:A262"/>
    <mergeCell ref="D261:D262"/>
    <mergeCell ref="E261:E262"/>
    <mergeCell ref="F261:F262"/>
    <mergeCell ref="A251:F251"/>
    <mergeCell ref="A253:A254"/>
    <mergeCell ref="D253:D254"/>
    <mergeCell ref="E253:E254"/>
    <mergeCell ref="F253:F254"/>
    <mergeCell ref="A255:A256"/>
    <mergeCell ref="D255:D256"/>
    <mergeCell ref="E255:E256"/>
    <mergeCell ref="F255:F256"/>
    <mergeCell ref="A227:A228"/>
    <mergeCell ref="D227:D228"/>
    <mergeCell ref="A271:A272"/>
    <mergeCell ref="D271:D272"/>
    <mergeCell ref="E271:E272"/>
    <mergeCell ref="F271:F272"/>
    <mergeCell ref="A152:A153"/>
    <mergeCell ref="D152:D153"/>
    <mergeCell ref="E152:E153"/>
    <mergeCell ref="A263:A264"/>
    <mergeCell ref="D263:D264"/>
    <mergeCell ref="E263:E264"/>
    <mergeCell ref="F263:F264"/>
    <mergeCell ref="A265:A266"/>
    <mergeCell ref="D265:D266"/>
    <mergeCell ref="E265:E266"/>
    <mergeCell ref="F265:F266"/>
    <mergeCell ref="A267:A268"/>
    <mergeCell ref="D267:D268"/>
    <mergeCell ref="E267:E268"/>
    <mergeCell ref="F267:F268"/>
    <mergeCell ref="A257:A258"/>
    <mergeCell ref="D257:D258"/>
    <mergeCell ref="E257:E258"/>
    <mergeCell ref="F257:F258"/>
    <mergeCell ref="A259:A260"/>
    <mergeCell ref="E227:E228"/>
    <mergeCell ref="F227:F228"/>
    <mergeCell ref="A229:A230"/>
    <mergeCell ref="D229:D230"/>
    <mergeCell ref="E229:E230"/>
    <mergeCell ref="F229:F230"/>
    <mergeCell ref="A250:F250"/>
    <mergeCell ref="A221:A222"/>
    <mergeCell ref="D221:D222"/>
    <mergeCell ref="E221:E222"/>
    <mergeCell ref="F221:F222"/>
    <mergeCell ref="A223:A224"/>
    <mergeCell ref="D223:D224"/>
    <mergeCell ref="E223:E224"/>
    <mergeCell ref="F223:F224"/>
    <mergeCell ref="A225:A226"/>
    <mergeCell ref="D225:D226"/>
    <mergeCell ref="E225:E226"/>
    <mergeCell ref="F225:F226"/>
    <mergeCell ref="A215:A216"/>
    <mergeCell ref="D215:D216"/>
    <mergeCell ref="E215:E216"/>
    <mergeCell ref="F215:F216"/>
    <mergeCell ref="A217:A218"/>
    <mergeCell ref="D217:D218"/>
    <mergeCell ref="E217:E218"/>
    <mergeCell ref="F217:F218"/>
    <mergeCell ref="A219:A220"/>
    <mergeCell ref="D219:D220"/>
    <mergeCell ref="E219:E220"/>
    <mergeCell ref="F219:F220"/>
    <mergeCell ref="A208:F208"/>
    <mergeCell ref="A209:F209"/>
    <mergeCell ref="A211:A212"/>
    <mergeCell ref="D211:D212"/>
    <mergeCell ref="E211:E212"/>
    <mergeCell ref="F211:F212"/>
    <mergeCell ref="A213:A214"/>
    <mergeCell ref="D213:D214"/>
    <mergeCell ref="E213:E214"/>
    <mergeCell ref="F213:F214"/>
    <mergeCell ref="A148:A149"/>
    <mergeCell ref="D148:D149"/>
    <mergeCell ref="E148:E149"/>
    <mergeCell ref="A150:A151"/>
    <mergeCell ref="D150:D151"/>
    <mergeCell ref="E150:E151"/>
    <mergeCell ref="A166:F166"/>
    <mergeCell ref="A167:F167"/>
    <mergeCell ref="A142:A143"/>
    <mergeCell ref="A144:A145"/>
    <mergeCell ref="D144:D145"/>
    <mergeCell ref="E144:E145"/>
    <mergeCell ref="A146:A147"/>
    <mergeCell ref="D146:D147"/>
    <mergeCell ref="E146:E147"/>
    <mergeCell ref="D142:D143"/>
    <mergeCell ref="C159:C160"/>
    <mergeCell ref="D159:D160"/>
    <mergeCell ref="E159:E160"/>
    <mergeCell ref="F159:F160"/>
    <mergeCell ref="F142:F143"/>
    <mergeCell ref="F144:F145"/>
    <mergeCell ref="F146:F147"/>
    <mergeCell ref="F148:F149"/>
    <mergeCell ref="E142:E143"/>
    <mergeCell ref="A125:F125"/>
    <mergeCell ref="A126:F126"/>
    <mergeCell ref="D128:D129"/>
    <mergeCell ref="D130:D131"/>
    <mergeCell ref="D132:D133"/>
    <mergeCell ref="D134:D135"/>
    <mergeCell ref="D136:D137"/>
    <mergeCell ref="D138:D139"/>
    <mergeCell ref="D140:D141"/>
    <mergeCell ref="A128:A129"/>
    <mergeCell ref="A130:A131"/>
    <mergeCell ref="A132:A133"/>
    <mergeCell ref="A134:A135"/>
    <mergeCell ref="A136:A137"/>
    <mergeCell ref="A138:A139"/>
    <mergeCell ref="A140:A141"/>
    <mergeCell ref="F134:F135"/>
    <mergeCell ref="F136:F137"/>
    <mergeCell ref="F138:F139"/>
    <mergeCell ref="F140:F141"/>
    <mergeCell ref="E130:E131"/>
    <mergeCell ref="E132:E133"/>
    <mergeCell ref="E134:E135"/>
    <mergeCell ref="E136:E137"/>
    <mergeCell ref="E138:E139"/>
    <mergeCell ref="E140:E141"/>
    <mergeCell ref="E92:E93"/>
    <mergeCell ref="F92:F93"/>
    <mergeCell ref="A94:A95"/>
    <mergeCell ref="D94:D95"/>
    <mergeCell ref="E94:E95"/>
    <mergeCell ref="F94:F95"/>
    <mergeCell ref="F128:F129"/>
    <mergeCell ref="F130:F131"/>
    <mergeCell ref="F132:F133"/>
    <mergeCell ref="A98:A99"/>
    <mergeCell ref="D98:D99"/>
    <mergeCell ref="E98:E99"/>
    <mergeCell ref="F98:F99"/>
    <mergeCell ref="A100:A101"/>
    <mergeCell ref="D100:D101"/>
    <mergeCell ref="E100:E101"/>
    <mergeCell ref="F100:F101"/>
    <mergeCell ref="E128:E129"/>
    <mergeCell ref="A47:A48"/>
    <mergeCell ref="A49:A50"/>
    <mergeCell ref="A69:A70"/>
    <mergeCell ref="A71:A72"/>
    <mergeCell ref="A96:A97"/>
    <mergeCell ref="D96:D97"/>
    <mergeCell ref="E96:E97"/>
    <mergeCell ref="F96:F97"/>
    <mergeCell ref="A86:A87"/>
    <mergeCell ref="D86:D87"/>
    <mergeCell ref="E86:E87"/>
    <mergeCell ref="F86:F87"/>
    <mergeCell ref="A88:A89"/>
    <mergeCell ref="D88:D89"/>
    <mergeCell ref="E88:E89"/>
    <mergeCell ref="F88:F89"/>
    <mergeCell ref="A90:A91"/>
    <mergeCell ref="D90:D91"/>
    <mergeCell ref="E90:E91"/>
    <mergeCell ref="F90:F91"/>
    <mergeCell ref="A83:F83"/>
    <mergeCell ref="A84:F84"/>
    <mergeCell ref="A92:A93"/>
    <mergeCell ref="D92:D93"/>
    <mergeCell ref="D71:D72"/>
    <mergeCell ref="E71:E72"/>
    <mergeCell ref="F71:F72"/>
    <mergeCell ref="A55:A56"/>
    <mergeCell ref="A57:A58"/>
    <mergeCell ref="A59:A60"/>
    <mergeCell ref="A61:A62"/>
    <mergeCell ref="A63:A64"/>
    <mergeCell ref="A65:A66"/>
    <mergeCell ref="A67:A68"/>
    <mergeCell ref="D65:D66"/>
    <mergeCell ref="E65:E66"/>
    <mergeCell ref="F65:F66"/>
    <mergeCell ref="D67:D68"/>
    <mergeCell ref="E67:E68"/>
    <mergeCell ref="F67:F68"/>
    <mergeCell ref="D69:D70"/>
    <mergeCell ref="E69:E70"/>
    <mergeCell ref="F69:F70"/>
    <mergeCell ref="D59:D60"/>
    <mergeCell ref="E59:E60"/>
    <mergeCell ref="F59:F60"/>
    <mergeCell ref="D61:D62"/>
    <mergeCell ref="E61:E62"/>
    <mergeCell ref="F61:F62"/>
    <mergeCell ref="D63:D64"/>
    <mergeCell ref="E63:E64"/>
    <mergeCell ref="F63:F64"/>
    <mergeCell ref="D49:D50"/>
    <mergeCell ref="E49:E50"/>
    <mergeCell ref="F49:F50"/>
    <mergeCell ref="D55:D56"/>
    <mergeCell ref="E55:E56"/>
    <mergeCell ref="F55:F56"/>
    <mergeCell ref="D57:D58"/>
    <mergeCell ref="E57:E58"/>
    <mergeCell ref="F57:F58"/>
    <mergeCell ref="G2:M2"/>
    <mergeCell ref="G3:M3"/>
    <mergeCell ref="A1:F1"/>
    <mergeCell ref="A2:F2"/>
    <mergeCell ref="G1:L1"/>
    <mergeCell ref="C157:C158"/>
    <mergeCell ref="D157:D158"/>
    <mergeCell ref="E157:E158"/>
    <mergeCell ref="F157:F158"/>
    <mergeCell ref="K66:Q66"/>
    <mergeCell ref="K67:Q67"/>
    <mergeCell ref="A44:F44"/>
    <mergeCell ref="A45:F45"/>
    <mergeCell ref="D51:D52"/>
    <mergeCell ref="E51:E52"/>
    <mergeCell ref="F51:F52"/>
    <mergeCell ref="D53:D54"/>
    <mergeCell ref="E53:E54"/>
    <mergeCell ref="F53:F54"/>
    <mergeCell ref="A51:A52"/>
    <mergeCell ref="A53:A54"/>
    <mergeCell ref="D47:D48"/>
    <mergeCell ref="E47:E48"/>
    <mergeCell ref="F47:F48"/>
    <mergeCell ref="D177:D178"/>
    <mergeCell ref="E177:E178"/>
    <mergeCell ref="F177:F178"/>
    <mergeCell ref="D175:D176"/>
    <mergeCell ref="E175:E176"/>
    <mergeCell ref="F175:F176"/>
    <mergeCell ref="A169:A170"/>
    <mergeCell ref="A171:A172"/>
    <mergeCell ref="A173:A174"/>
    <mergeCell ref="A175:A176"/>
    <mergeCell ref="A177:A178"/>
    <mergeCell ref="D169:D170"/>
    <mergeCell ref="E169:E170"/>
    <mergeCell ref="F169:F170"/>
    <mergeCell ref="D173:D174"/>
    <mergeCell ref="E173:E174"/>
    <mergeCell ref="F173:F174"/>
    <mergeCell ref="D171:D172"/>
    <mergeCell ref="E171:E172"/>
    <mergeCell ref="F171:F172"/>
    <mergeCell ref="A179:A180"/>
    <mergeCell ref="A181:A182"/>
    <mergeCell ref="A183:A184"/>
    <mergeCell ref="A185:A186"/>
    <mergeCell ref="A187:A188"/>
    <mergeCell ref="D187:D188"/>
    <mergeCell ref="E187:E188"/>
    <mergeCell ref="F187:F188"/>
    <mergeCell ref="D185:D186"/>
    <mergeCell ref="E185:E186"/>
    <mergeCell ref="F185:F186"/>
    <mergeCell ref="D183:D184"/>
    <mergeCell ref="E183:E184"/>
    <mergeCell ref="F183:F184"/>
    <mergeCell ref="D181:D182"/>
    <mergeCell ref="E181:E182"/>
    <mergeCell ref="F181:F182"/>
    <mergeCell ref="D179:D180"/>
    <mergeCell ref="E179:E180"/>
    <mergeCell ref="F179:F180"/>
  </mergeCells>
  <pageMargins left="0.9055118110236221" right="0.31496062992125984" top="1.1811023622047245" bottom="0.74803149606299213" header="0.31496062992125984" footer="0.31496062992125984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ACTIVIDADES</vt:lpstr>
      <vt:lpstr>Hoja5</vt:lpstr>
      <vt:lpstr>LECTURAS</vt:lpstr>
      <vt:lpstr>ASISTEN</vt:lpstr>
      <vt:lpstr>Hoja1</vt:lpstr>
      <vt:lpstr>Hoja2</vt:lpstr>
      <vt:lpstr>Hoja4</vt:lpstr>
      <vt:lpstr>LECT.</vt:lpstr>
      <vt:lpstr>Materiales</vt:lpstr>
      <vt:lpstr>Elementos</vt:lpstr>
      <vt:lpstr>2do TRIM.</vt:lpstr>
      <vt:lpstr>3er TRIM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Home</cp:lastModifiedBy>
  <cp:lastPrinted>2024-02-20T04:13:29Z</cp:lastPrinted>
  <dcterms:created xsi:type="dcterms:W3CDTF">2022-02-09T22:03:12Z</dcterms:created>
  <dcterms:modified xsi:type="dcterms:W3CDTF">2025-04-09T16:37:27Z</dcterms:modified>
</cp:coreProperties>
</file>